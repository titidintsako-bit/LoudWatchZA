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talMu\Documents\MYPE 2025\MYPE 2025 Website\"/>
    </mc:Choice>
  </mc:AlternateContent>
  <xr:revisionPtr revIDLastSave="0" documentId="13_ncr:1_{5AA56E30-F512-4759-899A-A0BF1188934B}" xr6:coauthVersionLast="47" xr6:coauthVersionMax="47" xr10:uidLastSave="{00000000-0000-0000-0000-000000000000}"/>
  <bookViews>
    <workbookView xWindow="-108" yWindow="-108" windowWidth="23256" windowHeight="13896" firstSheet="13" activeTab="16" xr2:uid="{00000000-000D-0000-FFFF-FFFF00000000}"/>
  </bookViews>
  <sheets>
    <sheet name="MYPE by pop grp and sex" sheetId="1" r:id="rId1"/>
    <sheet name="Total Fertilty Rate" sheetId="15" r:id="rId2"/>
    <sheet name="MYPE by province" sheetId="14" r:id="rId3"/>
    <sheet name="International Net migration" sheetId="4" r:id="rId4"/>
    <sheet name="Mortality Indicators over time" sheetId="6" r:id="rId5"/>
    <sheet name="Births and deaths over time" sheetId="5" r:id="rId6"/>
    <sheet name="HIV Estimates over time" sheetId="9" r:id="rId7"/>
    <sheet name="Rate of Growth by age grp" sheetId="10" r:id="rId8"/>
    <sheet name="MYPE by pop grp age and sex" sheetId="11" r:id="rId9"/>
    <sheet name="inter provincial migration" sheetId="20" r:id="rId10"/>
    <sheet name="% distribution of prov overtime" sheetId="22" r:id="rId11"/>
    <sheet name="Povincial est by age and sex" sheetId="13" r:id="rId12"/>
    <sheet name="TFR by Province" sheetId="19" r:id="rId13"/>
    <sheet name="LE by gender and prov" sheetId="21" r:id="rId14"/>
    <sheet name="%children over time within prov" sheetId="26" r:id="rId15"/>
    <sheet name="%elderly overtime within prov" sheetId="27" r:id="rId16"/>
    <sheet name="Selected ages" sheetId="28" r:id="rId17"/>
  </sheets>
  <definedNames>
    <definedName name="_Toc424070724" localSheetId="7">'Rate of Growth by age grp'!#REF!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AD21" i="13" l="1"/>
  <c r="AE21" i="13"/>
  <c r="AC21" i="13"/>
  <c r="Y33" i="13" l="1"/>
  <c r="B16" i="1" l="1"/>
  <c r="B11" i="1" l="1"/>
  <c r="E24" i="11" l="1"/>
  <c r="G14" i="1"/>
  <c r="F14" i="1"/>
  <c r="E14" i="1"/>
  <c r="G13" i="1"/>
  <c r="F13" i="1"/>
  <c r="E13" i="1"/>
  <c r="D13" i="1"/>
  <c r="G12" i="1"/>
  <c r="F12" i="1"/>
  <c r="E12" i="1"/>
  <c r="D12" i="1"/>
  <c r="G11" i="1"/>
  <c r="F11" i="1"/>
  <c r="E11" i="1"/>
  <c r="D11" i="1"/>
  <c r="AF4" i="13" l="1"/>
  <c r="AF6" i="13"/>
  <c r="AF8" i="13"/>
  <c r="AF9" i="13"/>
  <c r="AF10" i="13"/>
  <c r="AF12" i="13"/>
  <c r="AF14" i="13"/>
  <c r="AF16" i="13"/>
  <c r="AF17" i="13"/>
  <c r="AF18" i="13"/>
  <c r="AF20" i="13"/>
  <c r="AF3" i="13"/>
  <c r="AF19" i="13" l="1"/>
  <c r="AF15" i="13"/>
  <c r="AF13" i="13"/>
  <c r="AF11" i="13"/>
  <c r="AF7" i="13"/>
  <c r="AF5" i="13"/>
  <c r="B17" i="1"/>
  <c r="A25" i="13" l="1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24" i="13"/>
  <c r="E22" i="13"/>
  <c r="H22" i="13"/>
  <c r="K22" i="13"/>
  <c r="N22" i="13"/>
  <c r="Q22" i="13"/>
  <c r="T22" i="13"/>
  <c r="W22" i="13"/>
  <c r="Z22" i="13"/>
  <c r="AC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B23" i="13"/>
  <c r="B22" i="13"/>
  <c r="A11" i="1"/>
  <c r="A12" i="1"/>
  <c r="A13" i="1"/>
  <c r="A10" i="1"/>
  <c r="B14" i="1" l="1"/>
  <c r="C14" i="1"/>
  <c r="B10" i="1"/>
  <c r="G10" i="1"/>
  <c r="E10" i="1"/>
  <c r="C11" i="1"/>
  <c r="C12" i="1"/>
  <c r="C13" i="1"/>
  <c r="C10" i="1"/>
  <c r="D10" i="1"/>
  <c r="F10" i="1"/>
  <c r="B12" i="1"/>
  <c r="B13" i="1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Z33" i="13"/>
  <c r="AA33" i="13"/>
  <c r="AB33" i="13"/>
  <c r="AC33" i="13"/>
  <c r="AD33" i="13"/>
  <c r="AE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24" i="13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C24" i="11"/>
  <c r="D24" i="11"/>
  <c r="F24" i="11"/>
  <c r="G24" i="11"/>
  <c r="H24" i="11"/>
  <c r="I24" i="11"/>
  <c r="J24" i="11"/>
  <c r="K24" i="11"/>
  <c r="L24" i="11"/>
  <c r="M24" i="11"/>
  <c r="N24" i="11"/>
  <c r="O24" i="11"/>
  <c r="P24" i="11"/>
  <c r="B24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A23" i="11" l="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B22" i="11"/>
  <c r="E22" i="11"/>
  <c r="H22" i="11"/>
  <c r="K22" i="11"/>
  <c r="N22" i="11"/>
</calcChain>
</file>

<file path=xl/sharedStrings.xml><?xml version="1.0" encoding="utf-8"?>
<sst xmlns="http://schemas.openxmlformats.org/spreadsheetml/2006/main" count="404" uniqueCount="140">
  <si>
    <t>Population group</t>
  </si>
  <si>
    <t xml:space="preserve">       Male</t>
  </si>
  <si>
    <t xml:space="preserve">           Female</t>
  </si>
  <si>
    <t xml:space="preserve"> Total</t>
  </si>
  <si>
    <t>Number</t>
  </si>
  <si>
    <t>African</t>
  </si>
  <si>
    <t>Coloured</t>
  </si>
  <si>
    <t>Indian/Asian</t>
  </si>
  <si>
    <t>White</t>
  </si>
  <si>
    <t>Total</t>
  </si>
  <si>
    <t>Free State</t>
  </si>
  <si>
    <t>Gauteng</t>
  </si>
  <si>
    <t>KwaZulu-Natal</t>
  </si>
  <si>
    <t>Limpopo</t>
  </si>
  <si>
    <t>Mpumalanga</t>
  </si>
  <si>
    <t>Northern Cape</t>
  </si>
  <si>
    <t>North West</t>
  </si>
  <si>
    <t>Year</t>
  </si>
  <si>
    <t>Number of Births</t>
  </si>
  <si>
    <t>Percentage of AIDS deaths</t>
  </si>
  <si>
    <t>% of total population</t>
  </si>
  <si>
    <t>Male</t>
  </si>
  <si>
    <t>Female</t>
  </si>
  <si>
    <t>RSA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</si>
  <si>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</si>
  <si>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</si>
  <si>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</si>
  <si>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</si>
  <si>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</si>
  <si>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</si>
  <si>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</si>
  <si>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</si>
  <si>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</si>
  <si>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</si>
  <si>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</si>
  <si>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</si>
  <si>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</si>
  <si>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</si>
  <si>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</si>
  <si>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70-79</t>
  </si>
  <si>
    <t>80+</t>
  </si>
  <si>
    <t>EC</t>
  </si>
  <si>
    <t>FS</t>
  </si>
  <si>
    <t>KZN</t>
  </si>
  <si>
    <t>LIM</t>
  </si>
  <si>
    <t>MP</t>
  </si>
  <si>
    <t>NC</t>
  </si>
  <si>
    <t>NW</t>
  </si>
  <si>
    <t>WC</t>
  </si>
  <si>
    <t>Population estimate</t>
  </si>
  <si>
    <t>Eastern Cape</t>
  </si>
  <si>
    <t xml:space="preserve">Western Cape </t>
  </si>
  <si>
    <t>TFR</t>
  </si>
  <si>
    <t>Province in 2006</t>
  </si>
  <si>
    <t>Net migration</t>
  </si>
  <si>
    <t>Number of deaths</t>
  </si>
  <si>
    <t>Out-migrants</t>
  </si>
  <si>
    <t>In-migrants</t>
  </si>
  <si>
    <t>GP</t>
  </si>
  <si>
    <t>Province in 2011</t>
  </si>
  <si>
    <t>Province in 2016</t>
  </si>
  <si>
    <t>2001-2006</t>
  </si>
  <si>
    <t>2006-2011</t>
  </si>
  <si>
    <t>2011-2016</t>
  </si>
  <si>
    <t>Figure 1 Provincial Average Total Fertilty Rate</t>
  </si>
  <si>
    <t>LE-Males</t>
  </si>
  <si>
    <t>LE-Females</t>
  </si>
  <si>
    <t>LP</t>
  </si>
  <si>
    <t>2015-2016</t>
  </si>
  <si>
    <t xml:space="preserve">Eastern Cape </t>
  </si>
  <si>
    <t>Western Cape</t>
  </si>
  <si>
    <t>Province in 2021</t>
  </si>
  <si>
    <t>2016-2021</t>
  </si>
  <si>
    <t>Number of AIDS related deaths</t>
  </si>
  <si>
    <t>2002–2003</t>
  </si>
  <si>
    <t>2003–2004</t>
  </si>
  <si>
    <t>2004–2005</t>
  </si>
  <si>
    <t>2005–2006</t>
  </si>
  <si>
    <t>2006–2007</t>
  </si>
  <si>
    <t>2007–2008</t>
  </si>
  <si>
    <t>2008–2009</t>
  </si>
  <si>
    <t>2009–2010</t>
  </si>
  <si>
    <t>2010–2011</t>
  </si>
  <si>
    <t>2011–2012</t>
  </si>
  <si>
    <t>2012–2013</t>
  </si>
  <si>
    <t>2013–2014</t>
  </si>
  <si>
    <t>2014–2015</t>
  </si>
  <si>
    <t>2016-2017</t>
  </si>
  <si>
    <t>Table 11: Estimated provincial migration streams, 2006–2011</t>
  </si>
  <si>
    <t>Table 12: Estimated provincial migration streams, 2011–2016</t>
  </si>
  <si>
    <t>Table 13: Estimated provincial migration streams, 2016–2021</t>
  </si>
  <si>
    <t>2017-2018</t>
  </si>
  <si>
    <t>1985-2000</t>
  </si>
  <si>
    <t>Net Internationl Migration</t>
  </si>
  <si>
    <t>% of elderly within each province</t>
  </si>
  <si>
    <t>National</t>
  </si>
  <si>
    <t>% of Children under 15 within each province</t>
  </si>
  <si>
    <t>Black African</t>
  </si>
  <si>
    <t>75-79</t>
  </si>
  <si>
    <t>in thousands</t>
  </si>
  <si>
    <t>2018-2019</t>
  </si>
  <si>
    <t xml:space="preserve">male </t>
  </si>
  <si>
    <t>female</t>
  </si>
  <si>
    <t>Outside SA (net migration)</t>
  </si>
  <si>
    <t>100,0</t>
  </si>
  <si>
    <t>..</t>
  </si>
  <si>
    <t>CBR</t>
  </si>
  <si>
    <t>IMR</t>
  </si>
  <si>
    <t>CDR</t>
  </si>
  <si>
    <t>RNI</t>
  </si>
  <si>
    <t>2019-2020</t>
  </si>
  <si>
    <t xml:space="preserve">Total </t>
  </si>
  <si>
    <t>Women 15-49'</t>
  </si>
  <si>
    <t>Adults 15-49</t>
  </si>
  <si>
    <t>Youth 15-24</t>
  </si>
  <si>
    <t>Incidence 15-49</t>
  </si>
  <si>
    <t>Total population</t>
  </si>
  <si>
    <t>Children 0-14</t>
  </si>
  <si>
    <t>Elderly 60+</t>
  </si>
  <si>
    <t>adults 25-59</t>
  </si>
  <si>
    <t>Life Expectancy</t>
  </si>
  <si>
    <t>.</t>
  </si>
  <si>
    <t>Number of people living with HIV</t>
  </si>
  <si>
    <t>2020-2021</t>
  </si>
  <si>
    <t>In thousands</t>
  </si>
  <si>
    <t>,</t>
  </si>
  <si>
    <t>18-34</t>
  </si>
  <si>
    <t>35-49</t>
  </si>
  <si>
    <t xml:space="preserve">National </t>
  </si>
  <si>
    <t>Province in 2026</t>
  </si>
  <si>
    <t>Table 13: Estimated provincial migration streams, 2021–2026</t>
  </si>
  <si>
    <t>2021-2026</t>
  </si>
  <si>
    <t>2021-2022</t>
  </si>
  <si>
    <t>50-64</t>
  </si>
  <si>
    <t>65+</t>
  </si>
  <si>
    <t>2022-2023</t>
  </si>
  <si>
    <t>2023-2024</t>
  </si>
  <si>
    <t>2024-2025</t>
  </si>
  <si>
    <t xml:space="preserve">Prevalence </t>
  </si>
  <si>
    <t>U5MR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</si>
</sst>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#,##0.0"/>
    <numFmt numFmtId="166" formatCode="0.0000"/>
    <numFmt numFmtId="167" formatCode="0.000"/>
    <numFmt numFmtId="168" formatCode="#,##0.000"/>
    <numFmt numFmtId="169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Times New Roman"/>
      <family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54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2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7" xfId="0" applyFont="1" applyBorder="1"/>
    <xf numFmtId="164" fontId="5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0" fillId="0" borderId="0" xfId="0" applyNumberFormat="1"/>
    <xf numFmtId="0" fontId="4" fillId="0" borderId="9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9" fillId="0" borderId="2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164" fontId="4" fillId="2" borderId="1" xfId="0" applyNumberFormat="1" applyFont="1" applyFill="1" applyBorder="1" applyAlignment="1">
      <alignment wrapText="1"/>
    </xf>
    <xf numFmtId="2" fontId="5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2" xfId="0" applyFont="1" applyBorder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164" fontId="5" fillId="2" borderId="1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vertic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7" fillId="0" borderId="10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4" fontId="0" fillId="0" borderId="0" xfId="0" applyNumberFormat="1"/>
    <xf numFmtId="2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7" xfId="0" applyBorder="1"/>
    <xf numFmtId="2" fontId="14" fillId="0" borderId="1" xfId="0" applyNumberFormat="1" applyFont="1" applyBorder="1"/>
    <xf numFmtId="0" fontId="15" fillId="0" borderId="0" xfId="0" applyFont="1"/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/>
    </xf>
    <xf numFmtId="2" fontId="14" fillId="0" borderId="18" xfId="0" applyNumberFormat="1" applyFont="1" applyBorder="1"/>
    <xf numFmtId="2" fontId="5" fillId="2" borderId="1" xfId="0" applyNumberFormat="1" applyFont="1" applyFill="1" applyBorder="1" applyAlignment="1">
      <alignment horizontal="center"/>
    </xf>
    <xf numFmtId="169" fontId="2" fillId="0" borderId="1" xfId="1" applyNumberFormat="1" applyFont="1" applyBorder="1" applyAlignment="1">
      <alignment horizontal="right" vertical="center"/>
    </xf>
    <xf numFmtId="169" fontId="3" fillId="0" borderId="1" xfId="1" applyNumberFormat="1" applyFont="1" applyBorder="1" applyAlignment="1">
      <alignment horizontal="right" vertical="center"/>
    </xf>
    <xf numFmtId="169" fontId="0" fillId="0" borderId="1" xfId="1" applyNumberFormat="1" applyFont="1" applyBorder="1" applyAlignment="1">
      <alignment horizontal="left" vertical="top"/>
    </xf>
    <xf numFmtId="164" fontId="0" fillId="0" borderId="1" xfId="1" applyNumberFormat="1" applyFont="1" applyBorder="1" applyAlignment="1">
      <alignment horizontal="center" vertical="top"/>
    </xf>
    <xf numFmtId="2" fontId="14" fillId="0" borderId="1" xfId="0" applyNumberFormat="1" applyFont="1" applyBorder="1" applyAlignment="1">
      <alignment horizontal="right"/>
    </xf>
    <xf numFmtId="164" fontId="15" fillId="0" borderId="0" xfId="0" applyNumberFormat="1" applyFont="1"/>
    <xf numFmtId="2" fontId="15" fillId="0" borderId="0" xfId="0" applyNumberFormat="1" applyFont="1"/>
    <xf numFmtId="166" fontId="15" fillId="0" borderId="0" xfId="0" applyNumberFormat="1" applyFont="1"/>
    <xf numFmtId="165" fontId="15" fillId="0" borderId="0" xfId="0" applyNumberFormat="1" applyFont="1"/>
    <xf numFmtId="1" fontId="15" fillId="0" borderId="0" xfId="0" applyNumberFormat="1" applyFont="1"/>
    <xf numFmtId="3" fontId="2" fillId="0" borderId="7" xfId="0" applyNumberFormat="1" applyFont="1" applyBorder="1" applyAlignment="1">
      <alignment horizontal="center"/>
    </xf>
    <xf numFmtId="0" fontId="17" fillId="0" borderId="0" xfId="0" applyFont="1"/>
    <xf numFmtId="0" fontId="16" fillId="0" borderId="0" xfId="0" applyFont="1"/>
    <xf numFmtId="3" fontId="16" fillId="0" borderId="0" xfId="0" applyNumberFormat="1" applyFont="1"/>
    <xf numFmtId="3" fontId="17" fillId="0" borderId="0" xfId="0" applyNumberFormat="1" applyFont="1"/>
    <xf numFmtId="168" fontId="17" fillId="0" borderId="0" xfId="0" applyNumberFormat="1" applyFont="1"/>
    <xf numFmtId="0" fontId="18" fillId="0" borderId="0" xfId="0" applyFont="1"/>
    <xf numFmtId="164" fontId="17" fillId="0" borderId="0" xfId="0" applyNumberFormat="1" applyFont="1"/>
    <xf numFmtId="167" fontId="17" fillId="0" borderId="0" xfId="0" applyNumberFormat="1" applyFont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3" fontId="16" fillId="0" borderId="1" xfId="0" applyNumberFormat="1" applyFont="1" applyBorder="1"/>
    <xf numFmtId="0" fontId="20" fillId="0" borderId="7" xfId="0" applyFont="1" applyBorder="1"/>
    <xf numFmtId="0" fontId="20" fillId="0" borderId="0" xfId="0" applyFont="1"/>
    <xf numFmtId="0" fontId="18" fillId="0" borderId="1" xfId="0" applyFont="1" applyBorder="1"/>
    <xf numFmtId="164" fontId="17" fillId="0" borderId="1" xfId="0" applyNumberFormat="1" applyFont="1" applyBorder="1"/>
    <xf numFmtId="0" fontId="17" fillId="0" borderId="1" xfId="0" applyFont="1" applyBorder="1"/>
    <xf numFmtId="165" fontId="19" fillId="0" borderId="1" xfId="0" applyNumberFormat="1" applyFont="1" applyBorder="1"/>
    <xf numFmtId="165" fontId="17" fillId="0" borderId="1" xfId="0" applyNumberFormat="1" applyFont="1" applyBorder="1"/>
    <xf numFmtId="0" fontId="21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vertical="center"/>
    </xf>
    <xf numFmtId="3" fontId="23" fillId="0" borderId="6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 wrapText="1"/>
    </xf>
    <xf numFmtId="3" fontId="23" fillId="0" borderId="8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 wrapText="1"/>
    </xf>
    <xf numFmtId="0" fontId="24" fillId="0" borderId="0" xfId="0" applyFont="1"/>
    <xf numFmtId="164" fontId="24" fillId="0" borderId="0" xfId="0" applyNumberFormat="1" applyFont="1"/>
    <xf numFmtId="3" fontId="24" fillId="0" borderId="0" xfId="0" applyNumberFormat="1" applyFont="1"/>
    <xf numFmtId="4" fontId="17" fillId="0" borderId="0" xfId="0" applyNumberFormat="1" applyFont="1"/>
    <xf numFmtId="1" fontId="17" fillId="0" borderId="0" xfId="0" applyNumberFormat="1" applyFont="1"/>
    <xf numFmtId="164" fontId="0" fillId="0" borderId="1" xfId="0" applyNumberFormat="1" applyBorder="1" applyAlignment="1">
      <alignment horizontal="center"/>
    </xf>
    <xf numFmtId="0" fontId="5" fillId="0" borderId="18" xfId="0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169" fontId="0" fillId="0" borderId="1" xfId="1" applyNumberFormat="1" applyFont="1" applyBorder="1" applyAlignment="1"/>
    <xf numFmtId="3" fontId="0" fillId="0" borderId="1" xfId="1" applyNumberFormat="1" applyFont="1" applyBorder="1" applyAlignment="1">
      <alignment horizontal="center" vertical="top"/>
    </xf>
    <xf numFmtId="3" fontId="0" fillId="0" borderId="1" xfId="1" applyNumberFormat="1" applyFont="1" applyBorder="1" applyAlignment="1">
      <alignment horizontal="center"/>
    </xf>
    <xf numFmtId="169" fontId="16" fillId="0" borderId="1" xfId="1" applyNumberFormat="1" applyFont="1" applyBorder="1" applyAlignment="1">
      <alignment horizontal="center" readingOrder="2"/>
    </xf>
    <xf numFmtId="169" fontId="2" fillId="0" borderId="1" xfId="1" applyNumberFormat="1" applyFont="1" applyBorder="1" applyAlignment="1">
      <alignment horizontal="center" readingOrder="2"/>
    </xf>
    <xf numFmtId="169" fontId="0" fillId="0" borderId="1" xfId="1" applyNumberFormat="1" applyFont="1" applyBorder="1" applyAlignment="1">
      <alignment horizontal="center" readingOrder="2"/>
    </xf>
    <xf numFmtId="3" fontId="15" fillId="0" borderId="0" xfId="0" applyNumberFormat="1" applyFont="1"/>
    <xf numFmtId="0" fontId="4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1" fontId="0" fillId="0" borderId="1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6" fillId="0" borderId="1" xfId="0" applyFont="1" applyBorder="1"/>
    <xf numFmtId="164" fontId="19" fillId="0" borderId="1" xfId="0" applyNumberFormat="1" applyFont="1" applyBorder="1" applyAlignment="1">
      <alignment horizontal="right" vertical="center" wrapText="1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2" fontId="17" fillId="0" borderId="1" xfId="0" applyNumberFormat="1" applyFont="1" applyBorder="1"/>
    <xf numFmtId="3" fontId="17" fillId="0" borderId="1" xfId="0" applyNumberFormat="1" applyFont="1" applyBorder="1"/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'TFR by Province'!$B$3</c:f>
              <c:strCache>
                <c:ptCount val="1"/>
                <c:pt idx="0">
                  <c:v>2001-2006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Province'!$C$3:$K$3</c:f>
              <c:numCache>
                <c:formatCode>0.00</c:formatCode>
                <c:ptCount val="9"/>
                <c:pt idx="0">
                  <c:v>3.15</c:v>
                </c:pt>
                <c:pt idx="1">
                  <c:v>2.74</c:v>
                </c:pt>
                <c:pt idx="2">
                  <c:v>2.2400000000000002</c:v>
                </c:pt>
                <c:pt idx="3">
                  <c:v>2.9</c:v>
                </c:pt>
                <c:pt idx="4">
                  <c:v>3.26</c:v>
                </c:pt>
                <c:pt idx="5">
                  <c:v>2.8</c:v>
                </c:pt>
                <c:pt idx="6">
                  <c:v>3.04</c:v>
                </c:pt>
                <c:pt idx="7">
                  <c:v>3.1</c:v>
                </c:pt>
                <c:pt idx="8">
                  <c:v>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6-4FC7-BF38-B8C59BAD7B19}"/>
            </c:ext>
          </c:extLst>
        </c:ser>
        <c:ser>
          <c:idx val="1"/>
          <c:order val="1"/>
          <c:tx>
            <c:strRef>
              <c:f>'TFR by Province'!$B$4</c:f>
              <c:strCache>
                <c:ptCount val="1"/>
                <c:pt idx="0">
                  <c:v>2006-2011</c:v>
                </c:pt>
              </c:strCache>
            </c:strRef>
          </c:tx>
          <c:spPr>
            <a:pattFill prst="pct20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Province'!$C$4:$K$4</c:f>
              <c:numCache>
                <c:formatCode>0.00</c:formatCode>
                <c:ptCount val="9"/>
                <c:pt idx="0">
                  <c:v>3.2</c:v>
                </c:pt>
                <c:pt idx="1">
                  <c:v>2.84</c:v>
                </c:pt>
                <c:pt idx="2">
                  <c:v>2.35</c:v>
                </c:pt>
                <c:pt idx="3">
                  <c:v>2.93</c:v>
                </c:pt>
                <c:pt idx="4">
                  <c:v>3.32</c:v>
                </c:pt>
                <c:pt idx="5">
                  <c:v>2.91</c:v>
                </c:pt>
                <c:pt idx="6">
                  <c:v>3.09</c:v>
                </c:pt>
                <c:pt idx="7">
                  <c:v>3.18</c:v>
                </c:pt>
                <c:pt idx="8">
                  <c:v>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6-4FC7-BF38-B8C59BAD7B19}"/>
            </c:ext>
          </c:extLst>
        </c:ser>
        <c:ser>
          <c:idx val="2"/>
          <c:order val="2"/>
          <c:tx>
            <c:strRef>
              <c:f>'TFR by Province'!$B$5</c:f>
              <c:strCache>
                <c:ptCount val="1"/>
                <c:pt idx="0">
                  <c:v>2011-2016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Province'!$C$5:$K$5</c:f>
              <c:numCache>
                <c:formatCode>0.00</c:formatCode>
                <c:ptCount val="9"/>
                <c:pt idx="0">
                  <c:v>2.97</c:v>
                </c:pt>
                <c:pt idx="1">
                  <c:v>2.4500000000000002</c:v>
                </c:pt>
                <c:pt idx="2">
                  <c:v>1.96</c:v>
                </c:pt>
                <c:pt idx="3">
                  <c:v>2.61</c:v>
                </c:pt>
                <c:pt idx="4">
                  <c:v>3.22</c:v>
                </c:pt>
                <c:pt idx="5">
                  <c:v>2.46</c:v>
                </c:pt>
                <c:pt idx="6">
                  <c:v>2.9</c:v>
                </c:pt>
                <c:pt idx="7">
                  <c:v>2.73</c:v>
                </c:pt>
                <c:pt idx="8">
                  <c:v>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6-4FC7-BF38-B8C59BAD7B19}"/>
            </c:ext>
          </c:extLst>
        </c:ser>
        <c:ser>
          <c:idx val="3"/>
          <c:order val="3"/>
          <c:tx>
            <c:strRef>
              <c:f>'TFR by Province'!$B$6</c:f>
              <c:strCache>
                <c:ptCount val="1"/>
                <c:pt idx="0">
                  <c:v>2016-2021</c:v>
                </c:pt>
              </c:strCache>
            </c:strRef>
          </c:tx>
          <c:spPr>
            <a:solidFill>
              <a:schemeClr val="bg1"/>
            </a:solidFill>
            <a:ln cmpd="sng">
              <a:solidFill>
                <a:schemeClr val="accent1"/>
              </a:solidFill>
            </a:ln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Province'!$C$6:$K$6</c:f>
              <c:numCache>
                <c:formatCode>0.00</c:formatCode>
                <c:ptCount val="9"/>
                <c:pt idx="0">
                  <c:v>2.76</c:v>
                </c:pt>
                <c:pt idx="1">
                  <c:v>2.29</c:v>
                </c:pt>
                <c:pt idx="2">
                  <c:v>1.82</c:v>
                </c:pt>
                <c:pt idx="3">
                  <c:v>2.44</c:v>
                </c:pt>
                <c:pt idx="4">
                  <c:v>3.07</c:v>
                </c:pt>
                <c:pt idx="5">
                  <c:v>2.29</c:v>
                </c:pt>
                <c:pt idx="6">
                  <c:v>2.74</c:v>
                </c:pt>
                <c:pt idx="7">
                  <c:v>2.46</c:v>
                </c:pt>
                <c:pt idx="8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36-4FC7-BF38-B8C59BAD7B19}"/>
            </c:ext>
          </c:extLst>
        </c:ser>
        <c:ser>
          <c:idx val="4"/>
          <c:order val="4"/>
          <c:tx>
            <c:strRef>
              <c:f>'TFR by Province'!$B$7</c:f>
              <c:strCache>
                <c:ptCount val="1"/>
                <c:pt idx="0">
                  <c:v>2021-2026</c:v>
                </c:pt>
              </c:strCache>
            </c:strRef>
          </c:tx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Province'!$C$7:$K$7</c:f>
              <c:numCache>
                <c:formatCode>0.00</c:formatCode>
                <c:ptCount val="9"/>
                <c:pt idx="0">
                  <c:v>2.65</c:v>
                </c:pt>
                <c:pt idx="1">
                  <c:v>2.2200000000000002</c:v>
                </c:pt>
                <c:pt idx="2">
                  <c:v>1.72</c:v>
                </c:pt>
                <c:pt idx="3">
                  <c:v>2.39</c:v>
                </c:pt>
                <c:pt idx="4">
                  <c:v>2.94</c:v>
                </c:pt>
                <c:pt idx="5">
                  <c:v>2.25</c:v>
                </c:pt>
                <c:pt idx="6">
                  <c:v>2.64</c:v>
                </c:pt>
                <c:pt idx="7">
                  <c:v>2.41</c:v>
                </c:pt>
                <c:pt idx="8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D-41BA-A6B7-C378855C0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767760"/>
        <c:axId val="2091763952"/>
      </c:barChart>
      <c:catAx>
        <c:axId val="20917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91763952"/>
        <c:crosses val="autoZero"/>
        <c:auto val="1"/>
        <c:lblAlgn val="ctr"/>
        <c:lblOffset val="100"/>
        <c:noMultiLvlLbl val="0"/>
      </c:catAx>
      <c:valAx>
        <c:axId val="2091763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Fertility Rate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09176776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Male Life expectancy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 by gender and prov'!$B$5</c:f>
              <c:strCache>
                <c:ptCount val="1"/>
                <c:pt idx="0">
                  <c:v>2001-2006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prov'!$C$5:$K$5</c:f>
              <c:numCache>
                <c:formatCode>0.0</c:formatCode>
                <c:ptCount val="9"/>
                <c:pt idx="0">
                  <c:v>51.4</c:v>
                </c:pt>
                <c:pt idx="1">
                  <c:v>43.1</c:v>
                </c:pt>
                <c:pt idx="2">
                  <c:v>54.8</c:v>
                </c:pt>
                <c:pt idx="3">
                  <c:v>45.5</c:v>
                </c:pt>
                <c:pt idx="4">
                  <c:v>52.8</c:v>
                </c:pt>
                <c:pt idx="5">
                  <c:v>50.7</c:v>
                </c:pt>
                <c:pt idx="6">
                  <c:v>49.8</c:v>
                </c:pt>
                <c:pt idx="7">
                  <c:v>45.8</c:v>
                </c:pt>
                <c:pt idx="8">
                  <c:v>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9-43E3-87B6-D8188E020B16}"/>
            </c:ext>
          </c:extLst>
        </c:ser>
        <c:ser>
          <c:idx val="1"/>
          <c:order val="1"/>
          <c:tx>
            <c:strRef>
              <c:f>'LE by gender and prov'!$B$6</c:f>
              <c:strCache>
                <c:ptCount val="1"/>
                <c:pt idx="0">
                  <c:v>2006-2011</c:v>
                </c:pt>
              </c:strCache>
            </c:strRef>
          </c:tx>
          <c:spPr>
            <a:pattFill prst="pct10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prov'!$C$6:$K$6</c:f>
              <c:numCache>
                <c:formatCode>0.0</c:formatCode>
                <c:ptCount val="9"/>
                <c:pt idx="0">
                  <c:v>54.1</c:v>
                </c:pt>
                <c:pt idx="1">
                  <c:v>46</c:v>
                </c:pt>
                <c:pt idx="2">
                  <c:v>57.3</c:v>
                </c:pt>
                <c:pt idx="3">
                  <c:v>48.7</c:v>
                </c:pt>
                <c:pt idx="4">
                  <c:v>55</c:v>
                </c:pt>
                <c:pt idx="5">
                  <c:v>53.5</c:v>
                </c:pt>
                <c:pt idx="6">
                  <c:v>51.5</c:v>
                </c:pt>
                <c:pt idx="7">
                  <c:v>49</c:v>
                </c:pt>
                <c:pt idx="8">
                  <c:v>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9-43E3-87B6-D8188E020B16}"/>
            </c:ext>
          </c:extLst>
        </c:ser>
        <c:ser>
          <c:idx val="2"/>
          <c:order val="2"/>
          <c:tx>
            <c:strRef>
              <c:f>'LE by gender and prov'!$B$7</c:f>
              <c:strCache>
                <c:ptCount val="1"/>
                <c:pt idx="0">
                  <c:v>2011-2016</c:v>
                </c:pt>
              </c:strCache>
            </c:strRef>
          </c:tx>
          <c:spPr>
            <a:pattFill prst="wdDnDiag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prov'!$C$7:$K$7</c:f>
              <c:numCache>
                <c:formatCode>0.0</c:formatCode>
                <c:ptCount val="9"/>
                <c:pt idx="0">
                  <c:v>59.6</c:v>
                </c:pt>
                <c:pt idx="1">
                  <c:v>54.5</c:v>
                </c:pt>
                <c:pt idx="2">
                  <c:v>62.8</c:v>
                </c:pt>
                <c:pt idx="3">
                  <c:v>56.7</c:v>
                </c:pt>
                <c:pt idx="4">
                  <c:v>60.3</c:v>
                </c:pt>
                <c:pt idx="5">
                  <c:v>59.9</c:v>
                </c:pt>
                <c:pt idx="6">
                  <c:v>57.6</c:v>
                </c:pt>
                <c:pt idx="7">
                  <c:v>56.8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E9-43E3-87B6-D8188E020B16}"/>
            </c:ext>
          </c:extLst>
        </c:ser>
        <c:ser>
          <c:idx val="3"/>
          <c:order val="3"/>
          <c:tx>
            <c:strRef>
              <c:f>'LE by gender and prov'!$B$8</c:f>
              <c:strCache>
                <c:ptCount val="1"/>
                <c:pt idx="0">
                  <c:v>2016-2021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prov'!$C$8:$K$8</c:f>
              <c:numCache>
                <c:formatCode>0.0</c:formatCode>
                <c:ptCount val="9"/>
                <c:pt idx="0">
                  <c:v>60</c:v>
                </c:pt>
                <c:pt idx="1">
                  <c:v>55.5</c:v>
                </c:pt>
                <c:pt idx="2">
                  <c:v>63.5</c:v>
                </c:pt>
                <c:pt idx="3">
                  <c:v>57.5</c:v>
                </c:pt>
                <c:pt idx="4">
                  <c:v>61.5</c:v>
                </c:pt>
                <c:pt idx="5">
                  <c:v>61.1</c:v>
                </c:pt>
                <c:pt idx="6">
                  <c:v>57.9</c:v>
                </c:pt>
                <c:pt idx="7">
                  <c:v>57.6</c:v>
                </c:pt>
                <c:pt idx="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E9-43E3-87B6-D8188E020B16}"/>
            </c:ext>
          </c:extLst>
        </c:ser>
        <c:ser>
          <c:idx val="4"/>
          <c:order val="4"/>
          <c:tx>
            <c:strRef>
              <c:f>'LE by gender and prov'!$B$9</c:f>
              <c:strCache>
                <c:ptCount val="1"/>
                <c:pt idx="0">
                  <c:v>2021-2026</c:v>
                </c:pt>
              </c:strCache>
            </c:strRef>
          </c:tx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prov'!$C$9:$K$9</c:f>
              <c:numCache>
                <c:formatCode>0.0</c:formatCode>
                <c:ptCount val="9"/>
                <c:pt idx="0">
                  <c:v>61.5</c:v>
                </c:pt>
                <c:pt idx="1">
                  <c:v>57.3</c:v>
                </c:pt>
                <c:pt idx="2">
                  <c:v>65.3</c:v>
                </c:pt>
                <c:pt idx="3">
                  <c:v>59.3</c:v>
                </c:pt>
                <c:pt idx="4">
                  <c:v>64</c:v>
                </c:pt>
                <c:pt idx="5">
                  <c:v>62.8</c:v>
                </c:pt>
                <c:pt idx="6">
                  <c:v>59.5</c:v>
                </c:pt>
                <c:pt idx="7">
                  <c:v>59.7</c:v>
                </c:pt>
                <c:pt idx="8">
                  <c:v>67.599999999999994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F-4518-AF21-955A3F252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788976"/>
        <c:axId val="2091763408"/>
      </c:barChart>
      <c:catAx>
        <c:axId val="209178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91763408"/>
        <c:crosses val="autoZero"/>
        <c:auto val="1"/>
        <c:lblAlgn val="ctr"/>
        <c:lblOffset val="100"/>
        <c:noMultiLvlLbl val="0"/>
      </c:catAx>
      <c:valAx>
        <c:axId val="2091763408"/>
        <c:scaling>
          <c:orientation val="minMax"/>
          <c:max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Life Expectancy at birth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09178897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Female Life expectancy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 by gender and prov'!$B$12</c:f>
              <c:strCache>
                <c:ptCount val="1"/>
                <c:pt idx="0">
                  <c:v>2001-2006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prov'!$C$12:$K$12</c:f>
              <c:numCache>
                <c:formatCode>0.0</c:formatCode>
                <c:ptCount val="9"/>
                <c:pt idx="0">
                  <c:v>55.9</c:v>
                </c:pt>
                <c:pt idx="1">
                  <c:v>48.2</c:v>
                </c:pt>
                <c:pt idx="2">
                  <c:v>59.7</c:v>
                </c:pt>
                <c:pt idx="3">
                  <c:v>50.6</c:v>
                </c:pt>
                <c:pt idx="4">
                  <c:v>57.3</c:v>
                </c:pt>
                <c:pt idx="5">
                  <c:v>55.1</c:v>
                </c:pt>
                <c:pt idx="6">
                  <c:v>55</c:v>
                </c:pt>
                <c:pt idx="7">
                  <c:v>50.7</c:v>
                </c:pt>
                <c:pt idx="8">
                  <c:v>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4-416F-BCA2-2C72C4A23E2D}"/>
            </c:ext>
          </c:extLst>
        </c:ser>
        <c:ser>
          <c:idx val="1"/>
          <c:order val="1"/>
          <c:tx>
            <c:strRef>
              <c:f>'LE by gender and prov'!$B$13</c:f>
              <c:strCache>
                <c:ptCount val="1"/>
                <c:pt idx="0">
                  <c:v>2006-2011</c:v>
                </c:pt>
              </c:strCache>
            </c:strRef>
          </c:tx>
          <c:spPr>
            <a:pattFill prst="pct10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prov'!$C$13:$K$13</c:f>
              <c:numCache>
                <c:formatCode>0.0</c:formatCode>
                <c:ptCount val="9"/>
                <c:pt idx="0">
                  <c:v>59.2</c:v>
                </c:pt>
                <c:pt idx="1">
                  <c:v>52.5</c:v>
                </c:pt>
                <c:pt idx="2">
                  <c:v>62.5</c:v>
                </c:pt>
                <c:pt idx="3">
                  <c:v>54.3</c:v>
                </c:pt>
                <c:pt idx="4">
                  <c:v>60.1</c:v>
                </c:pt>
                <c:pt idx="5">
                  <c:v>58.3</c:v>
                </c:pt>
                <c:pt idx="6">
                  <c:v>57.8</c:v>
                </c:pt>
                <c:pt idx="7">
                  <c:v>54.7</c:v>
                </c:pt>
                <c:pt idx="8">
                  <c:v>65.599999999999994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416F-BCA2-2C72C4A23E2D}"/>
            </c:ext>
          </c:extLst>
        </c:ser>
        <c:ser>
          <c:idx val="2"/>
          <c:order val="2"/>
          <c:tx>
            <c:strRef>
              <c:f>'LE by gender and prov'!$B$14</c:f>
              <c:strCache>
                <c:ptCount val="1"/>
                <c:pt idx="0">
                  <c:v>2011-2016</c:v>
                </c:pt>
              </c:strCache>
            </c:strRef>
          </c:tx>
          <c:spPr>
            <a:pattFill prst="wdDnDiag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prov'!$C$14:$K$14</c:f>
              <c:numCache>
                <c:formatCode>0.0</c:formatCode>
                <c:ptCount val="9"/>
                <c:pt idx="0">
                  <c:v>65</c:v>
                </c:pt>
                <c:pt idx="1">
                  <c:v>61.4</c:v>
                </c:pt>
                <c:pt idx="2">
                  <c:v>68.400000000000006</c:v>
                </c:pt>
                <c:pt idx="3">
                  <c:v>63.2</c:v>
                </c:pt>
                <c:pt idx="4">
                  <c:v>66</c:v>
                </c:pt>
                <c:pt idx="5">
                  <c:v>65.099999999999994</c:v>
                </c:pt>
                <c:pt idx="6">
                  <c:v>64</c:v>
                </c:pt>
                <c:pt idx="7">
                  <c:v>63.3</c:v>
                </c:pt>
                <c:pt idx="8">
                  <c:v>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4-416F-BCA2-2C72C4A23E2D}"/>
            </c:ext>
          </c:extLst>
        </c:ser>
        <c:ser>
          <c:idx val="3"/>
          <c:order val="3"/>
          <c:tx>
            <c:strRef>
              <c:f>'LE by gender and prov'!$B$15</c:f>
              <c:strCache>
                <c:ptCount val="1"/>
                <c:pt idx="0">
                  <c:v>2016-2021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prov'!$C$15:$K$15</c:f>
              <c:numCache>
                <c:formatCode>0.0</c:formatCode>
                <c:ptCount val="9"/>
                <c:pt idx="0">
                  <c:v>65.7</c:v>
                </c:pt>
                <c:pt idx="1">
                  <c:v>62.4</c:v>
                </c:pt>
                <c:pt idx="2">
                  <c:v>69.099999999999994</c:v>
                </c:pt>
                <c:pt idx="3">
                  <c:v>63.8</c:v>
                </c:pt>
                <c:pt idx="4">
                  <c:v>66.5</c:v>
                </c:pt>
                <c:pt idx="5">
                  <c:v>66.400000000000006</c:v>
                </c:pt>
                <c:pt idx="6">
                  <c:v>64.7</c:v>
                </c:pt>
                <c:pt idx="7">
                  <c:v>64</c:v>
                </c:pt>
                <c:pt idx="8">
                  <c:v>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4-416F-BCA2-2C72C4A23E2D}"/>
            </c:ext>
          </c:extLst>
        </c:ser>
        <c:ser>
          <c:idx val="4"/>
          <c:order val="4"/>
          <c:tx>
            <c:strRef>
              <c:f>'LE by gender and prov'!$B$16</c:f>
              <c:strCache>
                <c:ptCount val="1"/>
                <c:pt idx="0">
                  <c:v>2021-2026</c:v>
                </c:pt>
              </c:strCache>
            </c:strRef>
          </c:tx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prov'!$C$16:$K$16</c:f>
              <c:numCache>
                <c:formatCode>0.0</c:formatCode>
                <c:ptCount val="9"/>
                <c:pt idx="0">
                  <c:v>67.599999999999994</c:v>
                </c:pt>
                <c:pt idx="1">
                  <c:v>64.2</c:v>
                </c:pt>
                <c:pt idx="2">
                  <c:v>71.2</c:v>
                </c:pt>
                <c:pt idx="3">
                  <c:v>65.400000000000006</c:v>
                </c:pt>
                <c:pt idx="4">
                  <c:v>68.7</c:v>
                </c:pt>
                <c:pt idx="5">
                  <c:v>67.7</c:v>
                </c:pt>
                <c:pt idx="6">
                  <c:v>66.2</c:v>
                </c:pt>
                <c:pt idx="7">
                  <c:v>66</c:v>
                </c:pt>
                <c:pt idx="8">
                  <c:v>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B-4721-9754-1937494F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768304"/>
        <c:axId val="2091781360"/>
      </c:barChart>
      <c:catAx>
        <c:axId val="2091768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91781360"/>
        <c:crosses val="autoZero"/>
        <c:auto val="1"/>
        <c:lblAlgn val="ctr"/>
        <c:lblOffset val="100"/>
        <c:noMultiLvlLbl val="0"/>
      </c:catAx>
      <c:valAx>
        <c:axId val="2091781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Life Expectancy at birth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09176830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7</xdr:row>
      <xdr:rowOff>123825</xdr:rowOff>
    </xdr:from>
    <xdr:to>
      <xdr:col>10</xdr:col>
      <xdr:colOff>76200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0</xdr:row>
      <xdr:rowOff>142875</xdr:rowOff>
    </xdr:from>
    <xdr:to>
      <xdr:col>20</xdr:col>
      <xdr:colOff>171450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17</xdr:row>
      <xdr:rowOff>47625</xdr:rowOff>
    </xdr:from>
    <xdr:to>
      <xdr:col>20</xdr:col>
      <xdr:colOff>266700</xdr:colOff>
      <xdr:row>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"/>
  <sheetViews>
    <sheetView workbookViewId="0">
      <selection activeCell="E21" sqref="E21"/>
    </sheetView>
  </sheetViews>
  <sheetFormatPr defaultRowHeight="14.4" x14ac:dyDescent="0.3"/>
  <cols>
    <col min="1" max="1" width="14" customWidth="1"/>
    <col min="2" max="2" width="11.6640625" customWidth="1"/>
    <col min="3" max="5" width="10.6640625" customWidth="1"/>
    <col min="6" max="6" width="12.44140625" customWidth="1"/>
    <col min="7" max="7" width="12.33203125" customWidth="1"/>
  </cols>
  <sheetData>
    <row r="2" spans="1:17" ht="27" x14ac:dyDescent="0.3">
      <c r="A2" s="7" t="s">
        <v>0</v>
      </c>
      <c r="B2" s="122" t="s">
        <v>1</v>
      </c>
      <c r="C2" s="122"/>
      <c r="D2" s="122" t="s">
        <v>2</v>
      </c>
      <c r="E2" s="122"/>
      <c r="F2" s="122" t="s">
        <v>3</v>
      </c>
      <c r="G2" s="122"/>
    </row>
    <row r="3" spans="1:17" ht="32.25" customHeight="1" x14ac:dyDescent="0.3">
      <c r="A3" s="6"/>
      <c r="B3" s="7" t="s">
        <v>4</v>
      </c>
      <c r="C3" s="7" t="s">
        <v>20</v>
      </c>
      <c r="D3" s="7" t="s">
        <v>4</v>
      </c>
      <c r="E3" s="7" t="s">
        <v>20</v>
      </c>
      <c r="F3" s="7" t="s">
        <v>4</v>
      </c>
      <c r="G3" s="7" t="s">
        <v>20</v>
      </c>
    </row>
    <row r="4" spans="1:17" x14ac:dyDescent="0.3">
      <c r="A4" s="8" t="s">
        <v>5</v>
      </c>
      <c r="B4" s="69">
        <v>25241810</v>
      </c>
      <c r="C4" s="52">
        <v>81.762514031274705</v>
      </c>
      <c r="D4" s="69">
        <v>26362566</v>
      </c>
      <c r="E4" s="52">
        <v>81.798062908812824</v>
      </c>
      <c r="F4" s="69">
        <v>51604376</v>
      </c>
      <c r="G4" s="52">
        <v>81.78067063813387</v>
      </c>
      <c r="H4" s="51"/>
      <c r="I4" s="3"/>
      <c r="J4" s="3"/>
      <c r="K4" s="3"/>
      <c r="L4" s="3"/>
      <c r="M4" s="3"/>
      <c r="N4" s="3"/>
      <c r="O4" s="14"/>
      <c r="P4" s="3"/>
      <c r="Q4" s="3"/>
    </row>
    <row r="5" spans="1:17" x14ac:dyDescent="0.3">
      <c r="A5" s="8" t="s">
        <v>6</v>
      </c>
      <c r="B5" s="69">
        <v>2612840</v>
      </c>
      <c r="C5" s="52">
        <v>8.4634329773291128</v>
      </c>
      <c r="D5" s="69">
        <v>2731273</v>
      </c>
      <c r="E5" s="52">
        <v>8.4746242332837376</v>
      </c>
      <c r="F5" s="69">
        <v>5344113</v>
      </c>
      <c r="G5" s="52">
        <v>8.4691489168664589</v>
      </c>
      <c r="H5" s="3"/>
      <c r="I5" s="3"/>
      <c r="J5" s="3"/>
      <c r="K5" s="3"/>
      <c r="L5" s="3"/>
      <c r="M5" s="3"/>
      <c r="N5" s="3"/>
      <c r="O5" s="14"/>
      <c r="P5" s="3"/>
      <c r="Q5" s="3"/>
    </row>
    <row r="6" spans="1:17" x14ac:dyDescent="0.3">
      <c r="A6" s="8" t="s">
        <v>7</v>
      </c>
      <c r="B6" s="69">
        <v>846674</v>
      </c>
      <c r="C6" s="52">
        <v>2.7425210317689372</v>
      </c>
      <c r="D6" s="69">
        <v>808297</v>
      </c>
      <c r="E6" s="52">
        <v>2.5079929190126893</v>
      </c>
      <c r="F6" s="69">
        <v>1654971</v>
      </c>
      <c r="G6" s="52">
        <v>2.6227356816922471</v>
      </c>
      <c r="I6" s="3"/>
      <c r="J6" s="3"/>
      <c r="K6" s="3"/>
      <c r="L6" s="3"/>
      <c r="M6" s="3"/>
      <c r="N6" s="3"/>
      <c r="O6" s="14"/>
      <c r="P6" s="3"/>
      <c r="Q6" s="3"/>
    </row>
    <row r="7" spans="1:17" x14ac:dyDescent="0.3">
      <c r="A7" s="8" t="s">
        <v>8</v>
      </c>
      <c r="B7" s="69">
        <v>2170782</v>
      </c>
      <c r="C7" s="52">
        <v>7.0315319596272436</v>
      </c>
      <c r="D7" s="69">
        <v>2326703</v>
      </c>
      <c r="E7" s="52">
        <v>7.2193199388907559</v>
      </c>
      <c r="F7" s="69">
        <v>4497485</v>
      </c>
      <c r="G7" s="52">
        <v>7.1274447633074276</v>
      </c>
      <c r="I7" s="3"/>
      <c r="J7" s="3"/>
      <c r="K7" s="3"/>
      <c r="L7" s="3"/>
      <c r="M7" s="3"/>
      <c r="N7" s="3"/>
      <c r="O7" s="14"/>
      <c r="P7" s="3"/>
      <c r="Q7" s="3"/>
    </row>
    <row r="8" spans="1:17" x14ac:dyDescent="0.3">
      <c r="A8" s="8" t="s">
        <v>9</v>
      </c>
      <c r="B8" s="70">
        <v>30872106</v>
      </c>
      <c r="C8" s="53" t="s">
        <v>104</v>
      </c>
      <c r="D8" s="70">
        <v>32228839</v>
      </c>
      <c r="E8" s="53" t="s">
        <v>104</v>
      </c>
      <c r="F8" s="70">
        <v>63100945</v>
      </c>
      <c r="G8" s="53" t="s">
        <v>104</v>
      </c>
      <c r="I8" s="3"/>
      <c r="J8" s="3"/>
      <c r="K8" s="3"/>
      <c r="L8" s="3"/>
      <c r="M8" s="3"/>
      <c r="N8" s="3"/>
      <c r="O8" s="3"/>
      <c r="P8" s="3"/>
      <c r="Q8" s="3"/>
    </row>
    <row r="9" spans="1:17" x14ac:dyDescent="0.3">
      <c r="A9" s="11" t="s">
        <v>99</v>
      </c>
    </row>
    <row r="10" spans="1:17" x14ac:dyDescent="0.3">
      <c r="A10" t="str">
        <f>A4</f>
        <v>African</v>
      </c>
      <c r="B10" s="28">
        <f>ROUND(B4/1000,1)</f>
        <v>25241.8</v>
      </c>
      <c r="C10" s="24">
        <f>C4</f>
        <v>81.762514031274705</v>
      </c>
      <c r="D10" s="28">
        <f t="shared" ref="D10:F10" si="0">ROUND(D4/1000,1)</f>
        <v>26362.6</v>
      </c>
      <c r="E10" s="24">
        <f>E4</f>
        <v>81.798062908812824</v>
      </c>
      <c r="F10" s="28">
        <f t="shared" si="0"/>
        <v>51604.4</v>
      </c>
      <c r="G10" s="24">
        <f>G4</f>
        <v>81.78067063813387</v>
      </c>
      <c r="J10" s="3"/>
      <c r="K10" s="3"/>
      <c r="L10" s="3"/>
      <c r="M10" s="3"/>
      <c r="N10" s="3"/>
    </row>
    <row r="11" spans="1:17" x14ac:dyDescent="0.3">
      <c r="A11" t="str">
        <f t="shared" ref="A11:A13" si="1">A5</f>
        <v>Coloured</v>
      </c>
      <c r="B11" s="28">
        <f>ROUND(B5/1000,1)</f>
        <v>2612.8000000000002</v>
      </c>
      <c r="C11" s="24">
        <f t="shared" ref="C11:C13" si="2">C5</f>
        <v>8.4634329773291128</v>
      </c>
      <c r="D11" s="28">
        <f t="shared" ref="B11:F13" si="3">ROUND(D5/1000,1)</f>
        <v>2731.3</v>
      </c>
      <c r="E11" s="24">
        <f t="shared" ref="E11:E13" si="4">E5</f>
        <v>8.4746242332837376</v>
      </c>
      <c r="F11" s="28">
        <f t="shared" si="3"/>
        <v>5344.1</v>
      </c>
      <c r="G11" s="24">
        <f t="shared" ref="G11:G13" si="5">G5</f>
        <v>8.4691489168664589</v>
      </c>
      <c r="J11" s="3"/>
      <c r="K11" s="3"/>
      <c r="L11" s="3"/>
      <c r="M11" s="3"/>
      <c r="N11" s="3"/>
    </row>
    <row r="12" spans="1:17" x14ac:dyDescent="0.3">
      <c r="A12" t="str">
        <f t="shared" si="1"/>
        <v>Indian/Asian</v>
      </c>
      <c r="B12" s="28">
        <f t="shared" si="3"/>
        <v>846.7</v>
      </c>
      <c r="C12" s="24">
        <f t="shared" si="2"/>
        <v>2.7425210317689372</v>
      </c>
      <c r="D12" s="28">
        <f t="shared" si="3"/>
        <v>808.3</v>
      </c>
      <c r="E12" s="24">
        <f t="shared" si="4"/>
        <v>2.5079929190126893</v>
      </c>
      <c r="F12" s="28">
        <f t="shared" si="3"/>
        <v>1655</v>
      </c>
      <c r="G12" s="24">
        <f t="shared" si="5"/>
        <v>2.6227356816922471</v>
      </c>
      <c r="J12" s="3"/>
      <c r="K12" s="3"/>
      <c r="L12" s="3"/>
      <c r="M12" s="3"/>
      <c r="N12" s="3"/>
    </row>
    <row r="13" spans="1:17" x14ac:dyDescent="0.3">
      <c r="A13" t="str">
        <f t="shared" si="1"/>
        <v>White</v>
      </c>
      <c r="B13" s="28">
        <f t="shared" si="3"/>
        <v>2170.8000000000002</v>
      </c>
      <c r="C13" s="24">
        <f t="shared" si="2"/>
        <v>7.0315319596272436</v>
      </c>
      <c r="D13" s="28">
        <f t="shared" si="3"/>
        <v>2326.6999999999998</v>
      </c>
      <c r="E13" s="24">
        <f t="shared" si="4"/>
        <v>7.2193199388907559</v>
      </c>
      <c r="F13" s="28">
        <f t="shared" si="3"/>
        <v>4497.5</v>
      </c>
      <c r="G13" s="24">
        <f t="shared" si="5"/>
        <v>7.1274447633074276</v>
      </c>
      <c r="J13" s="3"/>
      <c r="K13" s="3"/>
      <c r="L13" s="3"/>
      <c r="M13" s="3"/>
      <c r="N13" s="3"/>
    </row>
    <row r="14" spans="1:17" x14ac:dyDescent="0.3">
      <c r="B14" s="28">
        <f>ROUND(B8/1000,1)</f>
        <v>30872.1</v>
      </c>
      <c r="C14" s="24" t="str">
        <f>C8</f>
        <v>100,0</v>
      </c>
      <c r="D14" s="28">
        <f t="shared" ref="D14" si="6">ROUND(D8/1000,1)</f>
        <v>32228.799999999999</v>
      </c>
      <c r="E14" s="24" t="str">
        <f>E8</f>
        <v>100,0</v>
      </c>
      <c r="F14" s="28">
        <f>ROUND(F8/1000,1)</f>
        <v>63100.9</v>
      </c>
      <c r="G14" s="24" t="str">
        <f>G8</f>
        <v>100,0</v>
      </c>
      <c r="J14" s="3"/>
      <c r="K14" s="3"/>
      <c r="L14" s="3"/>
      <c r="M14" s="3"/>
      <c r="N14" s="3"/>
    </row>
    <row r="15" spans="1:17" x14ac:dyDescent="0.3">
      <c r="B15" s="27"/>
      <c r="C15" s="26"/>
      <c r="D15" s="27"/>
      <c r="E15" s="26"/>
      <c r="F15" s="27"/>
      <c r="G15" s="26"/>
    </row>
    <row r="16" spans="1:17" x14ac:dyDescent="0.3">
      <c r="A16" t="s">
        <v>101</v>
      </c>
      <c r="B16" s="31">
        <f>B8/F8*100</f>
        <v>48.924950331567935</v>
      </c>
    </row>
    <row r="17" spans="1:10" x14ac:dyDescent="0.3">
      <c r="A17" t="s">
        <v>102</v>
      </c>
      <c r="B17" s="32">
        <f>D8/F8*100</f>
        <v>51.075049668432072</v>
      </c>
    </row>
    <row r="18" spans="1:10" x14ac:dyDescent="0.3">
      <c r="D18" t="s">
        <v>105</v>
      </c>
      <c r="J18" t="s">
        <v>125</v>
      </c>
    </row>
  </sheetData>
  <mergeCells count="3">
    <mergeCell ref="B2:C2"/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G17" sqref="G17"/>
    </sheetView>
  </sheetViews>
  <sheetFormatPr defaultRowHeight="14.4" x14ac:dyDescent="0.3"/>
  <sheetData>
    <row r="1" spans="1:6" ht="33" customHeight="1" x14ac:dyDescent="0.3">
      <c r="A1" s="8" t="s">
        <v>17</v>
      </c>
      <c r="B1" s="8" t="s">
        <v>52</v>
      </c>
    </row>
    <row r="2" spans="1:6" x14ac:dyDescent="0.3">
      <c r="A2" s="8">
        <v>2002</v>
      </c>
      <c r="B2" s="9">
        <v>2.5499999999999998</v>
      </c>
    </row>
    <row r="3" spans="1:6" x14ac:dyDescent="0.3">
      <c r="A3" s="8">
        <v>2003</v>
      </c>
      <c r="B3" s="9">
        <v>2.48</v>
      </c>
      <c r="E3" s="14"/>
      <c r="F3" s="14"/>
    </row>
    <row r="4" spans="1:6" x14ac:dyDescent="0.3">
      <c r="A4" s="8">
        <v>2004</v>
      </c>
      <c r="B4" s="9">
        <v>2.62</v>
      </c>
      <c r="E4" s="14"/>
      <c r="F4" s="14"/>
    </row>
    <row r="5" spans="1:6" x14ac:dyDescent="0.3">
      <c r="A5" s="8">
        <v>2005</v>
      </c>
      <c r="B5" s="9">
        <v>2.74</v>
      </c>
      <c r="E5" s="14"/>
      <c r="F5" s="14"/>
    </row>
    <row r="6" spans="1:6" x14ac:dyDescent="0.3">
      <c r="A6" s="8">
        <v>2006</v>
      </c>
      <c r="B6" s="9">
        <v>2.77</v>
      </c>
      <c r="E6" s="14"/>
      <c r="F6" s="14"/>
    </row>
    <row r="7" spans="1:6" x14ac:dyDescent="0.3">
      <c r="A7" s="8">
        <v>2007</v>
      </c>
      <c r="B7" s="9">
        <v>2.77</v>
      </c>
      <c r="E7" s="14"/>
      <c r="F7" s="14"/>
    </row>
    <row r="8" spans="1:6" x14ac:dyDescent="0.3">
      <c r="A8" s="8">
        <v>2008</v>
      </c>
      <c r="B8" s="9">
        <v>2.78</v>
      </c>
      <c r="E8" s="14"/>
      <c r="F8" s="14"/>
    </row>
    <row r="9" spans="1:6" x14ac:dyDescent="0.3">
      <c r="A9" s="8">
        <v>2009</v>
      </c>
      <c r="B9" s="9">
        <v>2.7</v>
      </c>
      <c r="E9" s="14"/>
      <c r="F9" s="14"/>
    </row>
    <row r="10" spans="1:6" x14ac:dyDescent="0.3">
      <c r="A10" s="8">
        <v>2010</v>
      </c>
      <c r="B10" s="9">
        <v>2.62</v>
      </c>
      <c r="E10" s="14"/>
      <c r="F10" s="14"/>
    </row>
    <row r="11" spans="1:6" x14ac:dyDescent="0.3">
      <c r="A11" s="8">
        <v>2011</v>
      </c>
      <c r="B11" s="9">
        <v>2.6</v>
      </c>
      <c r="E11" s="14"/>
      <c r="F11" s="14"/>
    </row>
    <row r="12" spans="1:6" x14ac:dyDescent="0.3">
      <c r="A12" s="8">
        <v>2012</v>
      </c>
      <c r="B12" s="9">
        <v>2.56</v>
      </c>
      <c r="E12" s="14"/>
      <c r="F12" s="14"/>
    </row>
    <row r="13" spans="1:6" x14ac:dyDescent="0.3">
      <c r="A13" s="8">
        <v>2013</v>
      </c>
      <c r="B13" s="9">
        <v>2.4900000000000002</v>
      </c>
      <c r="E13" s="14"/>
      <c r="F13" s="14"/>
    </row>
    <row r="14" spans="1:6" x14ac:dyDescent="0.3">
      <c r="A14" s="8">
        <v>2014</v>
      </c>
      <c r="B14" s="9">
        <v>2.4900000000000002</v>
      </c>
      <c r="E14" s="14"/>
      <c r="F14" s="14"/>
    </row>
    <row r="15" spans="1:6" x14ac:dyDescent="0.3">
      <c r="A15" s="8">
        <v>2015</v>
      </c>
      <c r="B15" s="9">
        <v>2.35</v>
      </c>
      <c r="E15" s="14"/>
      <c r="F15" s="14"/>
    </row>
    <row r="16" spans="1:6" x14ac:dyDescent="0.3">
      <c r="A16" s="8">
        <v>2016</v>
      </c>
      <c r="B16" s="23">
        <v>2.19</v>
      </c>
      <c r="E16" s="14"/>
      <c r="F16" s="14"/>
    </row>
    <row r="17" spans="1:6" x14ac:dyDescent="0.3">
      <c r="A17" s="20">
        <v>2017</v>
      </c>
      <c r="B17" s="23">
        <v>2.1800000000000002</v>
      </c>
      <c r="E17" s="14"/>
      <c r="F17" s="14"/>
    </row>
    <row r="18" spans="1:6" x14ac:dyDescent="0.3">
      <c r="A18" s="8">
        <v>2018</v>
      </c>
      <c r="B18" s="23">
        <v>2.2799999999999998</v>
      </c>
      <c r="E18" s="14"/>
      <c r="F18" s="14"/>
    </row>
    <row r="19" spans="1:6" x14ac:dyDescent="0.3">
      <c r="A19" s="8">
        <v>2019</v>
      </c>
      <c r="B19" s="23">
        <v>2.2999999999999998</v>
      </c>
      <c r="E19" s="14"/>
      <c r="F19" s="14"/>
    </row>
    <row r="20" spans="1:6" x14ac:dyDescent="0.3">
      <c r="A20" s="8">
        <v>2020</v>
      </c>
      <c r="B20" s="23">
        <v>2.31</v>
      </c>
      <c r="E20" s="14"/>
      <c r="F20" s="14"/>
    </row>
    <row r="21" spans="1:6" x14ac:dyDescent="0.3">
      <c r="A21" s="8">
        <v>2021</v>
      </c>
      <c r="B21" s="23">
        <v>2.2799999999999998</v>
      </c>
      <c r="E21" s="14"/>
      <c r="F21" s="14"/>
    </row>
    <row r="22" spans="1:6" x14ac:dyDescent="0.3">
      <c r="A22" s="8">
        <v>2022</v>
      </c>
      <c r="B22" s="46">
        <v>2.2599999999999998</v>
      </c>
    </row>
    <row r="23" spans="1:6" x14ac:dyDescent="0.3">
      <c r="A23" s="8">
        <v>2023</v>
      </c>
      <c r="B23" s="23">
        <v>2.23</v>
      </c>
    </row>
    <row r="24" spans="1:6" x14ac:dyDescent="0.3">
      <c r="A24" s="8">
        <v>2024</v>
      </c>
      <c r="B24" s="23">
        <v>2.21</v>
      </c>
    </row>
    <row r="25" spans="1:6" x14ac:dyDescent="0.3">
      <c r="A25" s="8">
        <v>2025</v>
      </c>
      <c r="B25" s="23">
        <v>2.21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"/>
  <sheetViews>
    <sheetView workbookViewId="0">
      <selection activeCell="E4" sqref="E4"/>
    </sheetView>
  </sheetViews>
  <sheetFormatPr defaultRowHeight="14.4" x14ac:dyDescent="0.3"/>
  <cols>
    <col min="1" max="1" width="8.88671875" style="51"/>
    <col min="2" max="2" width="15.33203125" style="51" customWidth="1"/>
    <col min="3" max="3" width="17.5546875" style="51" customWidth="1"/>
    <col min="4" max="4" width="11.5546875" style="51" bestFit="1" customWidth="1"/>
    <col min="5" max="5" width="9.88671875" style="51" bestFit="1" customWidth="1"/>
    <col min="6" max="16384" width="8.88671875" style="51"/>
  </cols>
  <sheetData>
    <row r="2" spans="2:7" ht="15" thickBot="1" x14ac:dyDescent="0.35"/>
    <row r="3" spans="2:7" ht="24.6" thickBot="1" x14ac:dyDescent="0.35">
      <c r="B3" s="98"/>
      <c r="C3" s="99" t="s">
        <v>49</v>
      </c>
      <c r="D3" s="100" t="s">
        <v>20</v>
      </c>
    </row>
    <row r="4" spans="2:7" ht="15" thickBot="1" x14ac:dyDescent="0.35">
      <c r="B4" s="101" t="s">
        <v>50</v>
      </c>
      <c r="C4" s="102">
        <v>7090788</v>
      </c>
      <c r="D4" s="103">
        <v>11.237213660171355</v>
      </c>
      <c r="E4" s="121"/>
      <c r="F4" s="78"/>
      <c r="G4" s="78"/>
    </row>
    <row r="5" spans="2:7" ht="15" thickBot="1" x14ac:dyDescent="0.35">
      <c r="B5" s="101" t="s">
        <v>10</v>
      </c>
      <c r="C5" s="104">
        <v>3039834</v>
      </c>
      <c r="D5" s="103">
        <v>4.8174135978746646</v>
      </c>
      <c r="E5" s="121"/>
      <c r="F5" s="78"/>
      <c r="G5" s="78"/>
    </row>
    <row r="6" spans="2:7" ht="15" thickBot="1" x14ac:dyDescent="0.35">
      <c r="B6" s="101" t="s">
        <v>11</v>
      </c>
      <c r="C6" s="104">
        <v>16104933</v>
      </c>
      <c r="D6" s="103">
        <v>25.522491502341989</v>
      </c>
      <c r="E6" s="121"/>
      <c r="F6" s="78"/>
      <c r="G6" s="78"/>
    </row>
    <row r="7" spans="2:7" ht="15" thickBot="1" x14ac:dyDescent="0.35">
      <c r="B7" s="101" t="s">
        <v>12</v>
      </c>
      <c r="C7" s="104">
        <v>12232247</v>
      </c>
      <c r="D7" s="103">
        <v>19.385204483681193</v>
      </c>
      <c r="E7" s="121"/>
      <c r="F7" s="78"/>
      <c r="G7" s="78"/>
    </row>
    <row r="8" spans="2:7" ht="15" thickBot="1" x14ac:dyDescent="0.35">
      <c r="B8" s="101" t="s">
        <v>13</v>
      </c>
      <c r="C8" s="104">
        <v>6366192</v>
      </c>
      <c r="D8" s="103">
        <v>10.088901378717704</v>
      </c>
      <c r="E8" s="121"/>
      <c r="F8" s="78"/>
      <c r="G8" s="78"/>
    </row>
    <row r="9" spans="2:7" ht="15" thickBot="1" x14ac:dyDescent="0.35">
      <c r="B9" s="101" t="s">
        <v>14</v>
      </c>
      <c r="C9" s="104">
        <v>5076133</v>
      </c>
      <c r="D9" s="103">
        <v>8.0444644815453454</v>
      </c>
      <c r="E9" s="121"/>
      <c r="F9" s="78"/>
      <c r="G9" s="78"/>
    </row>
    <row r="10" spans="2:7" ht="15" thickBot="1" x14ac:dyDescent="0.35">
      <c r="B10" s="101" t="s">
        <v>15</v>
      </c>
      <c r="C10" s="104">
        <v>1379183</v>
      </c>
      <c r="D10" s="103">
        <v>2.185677095938384</v>
      </c>
      <c r="E10" s="121"/>
      <c r="F10" s="78"/>
      <c r="G10" s="78"/>
    </row>
    <row r="11" spans="2:7" ht="15" thickBot="1" x14ac:dyDescent="0.35">
      <c r="B11" s="101" t="s">
        <v>16</v>
      </c>
      <c r="C11" s="104">
        <v>4183947</v>
      </c>
      <c r="D11" s="103">
        <v>6.6305609315844007</v>
      </c>
      <c r="E11" s="121"/>
      <c r="F11" s="78"/>
      <c r="G11" s="78"/>
    </row>
    <row r="12" spans="2:7" ht="15" thickBot="1" x14ac:dyDescent="0.35">
      <c r="B12" s="101" t="s">
        <v>51</v>
      </c>
      <c r="C12" s="104">
        <v>7627688</v>
      </c>
      <c r="D12" s="103">
        <v>12.088072868144959</v>
      </c>
      <c r="E12" s="121"/>
      <c r="F12" s="78"/>
      <c r="G12" s="78"/>
    </row>
    <row r="13" spans="2:7" ht="15" thickBot="1" x14ac:dyDescent="0.35">
      <c r="B13" s="101" t="s">
        <v>9</v>
      </c>
      <c r="C13" s="105">
        <v>63100945</v>
      </c>
      <c r="D13" s="103">
        <v>100</v>
      </c>
      <c r="F13" s="78"/>
      <c r="G13" s="78"/>
    </row>
    <row r="14" spans="2:7" x14ac:dyDescent="0.3">
      <c r="B14" s="106"/>
      <c r="C14" s="108"/>
      <c r="D14" s="10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7"/>
  <sheetViews>
    <sheetView workbookViewId="0">
      <selection activeCell="F5" sqref="F5"/>
    </sheetView>
  </sheetViews>
  <sheetFormatPr defaultRowHeight="14.4" x14ac:dyDescent="0.3"/>
  <cols>
    <col min="3" max="3" width="10.6640625" customWidth="1"/>
    <col min="4" max="4" width="12.33203125" customWidth="1"/>
    <col min="6" max="6" width="22.44140625" customWidth="1"/>
  </cols>
  <sheetData>
    <row r="1" spans="2:12" ht="15" thickBot="1" x14ac:dyDescent="0.35">
      <c r="B1" s="17"/>
      <c r="C1" s="18" t="s">
        <v>5</v>
      </c>
      <c r="D1" s="18" t="s">
        <v>7</v>
      </c>
      <c r="E1" s="18" t="s">
        <v>8</v>
      </c>
      <c r="F1" s="25" t="s">
        <v>93</v>
      </c>
    </row>
    <row r="2" spans="2:12" ht="15" thickBot="1" x14ac:dyDescent="0.35">
      <c r="B2" s="19" t="s">
        <v>92</v>
      </c>
      <c r="C2" s="54">
        <v>718432</v>
      </c>
      <c r="D2" s="54">
        <v>53672</v>
      </c>
      <c r="E2" s="54">
        <v>-202868</v>
      </c>
      <c r="F2" s="55">
        <v>569236</v>
      </c>
      <c r="G2" s="5"/>
      <c r="H2" s="5"/>
      <c r="I2" s="5"/>
      <c r="J2" s="5"/>
      <c r="K2" s="5"/>
      <c r="L2" s="5"/>
    </row>
    <row r="3" spans="2:12" ht="15" thickBot="1" x14ac:dyDescent="0.35">
      <c r="B3" s="19" t="s">
        <v>61</v>
      </c>
      <c r="C3" s="54">
        <v>619509</v>
      </c>
      <c r="D3" s="54">
        <v>35562</v>
      </c>
      <c r="E3" s="54">
        <v>-99574</v>
      </c>
      <c r="F3" s="56">
        <v>555497</v>
      </c>
      <c r="G3" s="5"/>
      <c r="H3" s="5"/>
      <c r="I3" s="5"/>
      <c r="J3" s="5"/>
      <c r="K3" s="5"/>
      <c r="L3" s="5"/>
    </row>
    <row r="4" spans="2:12" ht="15" thickBot="1" x14ac:dyDescent="0.35">
      <c r="B4" s="19" t="s">
        <v>62</v>
      </c>
      <c r="C4" s="54">
        <v>878851</v>
      </c>
      <c r="D4" s="54">
        <v>53047</v>
      </c>
      <c r="E4" s="54">
        <v>-106787</v>
      </c>
      <c r="F4" s="56">
        <v>825111</v>
      </c>
      <c r="G4" s="5"/>
      <c r="H4" s="5"/>
      <c r="I4" s="5"/>
      <c r="J4" s="5"/>
      <c r="K4" s="5"/>
      <c r="L4" s="5"/>
    </row>
    <row r="5" spans="2:12" ht="15" thickBot="1" x14ac:dyDescent="0.35">
      <c r="B5" s="19" t="s">
        <v>63</v>
      </c>
      <c r="C5" s="54">
        <v>1100815</v>
      </c>
      <c r="D5" s="54">
        <v>65431</v>
      </c>
      <c r="E5" s="54">
        <v>-111346</v>
      </c>
      <c r="F5" s="56">
        <v>1054900</v>
      </c>
      <c r="G5" s="5"/>
      <c r="H5" s="5"/>
      <c r="I5" s="5"/>
      <c r="J5" s="5"/>
      <c r="K5" s="5"/>
      <c r="L5" s="5"/>
    </row>
    <row r="6" spans="2:12" ht="15" thickBot="1" x14ac:dyDescent="0.35">
      <c r="B6" s="64" t="s">
        <v>72</v>
      </c>
      <c r="C6" s="62">
        <v>956984</v>
      </c>
      <c r="D6" s="62">
        <v>60700</v>
      </c>
      <c r="E6" s="62">
        <v>-90957</v>
      </c>
      <c r="F6" s="63">
        <v>926727</v>
      </c>
      <c r="G6" s="5"/>
      <c r="H6" s="5"/>
      <c r="I6" s="5"/>
      <c r="J6" s="5"/>
      <c r="K6" s="5"/>
      <c r="L6" s="5"/>
    </row>
    <row r="7" spans="2:12" ht="15" thickBot="1" x14ac:dyDescent="0.35">
      <c r="B7" s="65" t="s">
        <v>131</v>
      </c>
      <c r="C7" s="66">
        <v>903697</v>
      </c>
      <c r="D7" s="66">
        <v>56547</v>
      </c>
      <c r="E7" s="66">
        <v>-94898</v>
      </c>
      <c r="F7" s="66">
        <v>865346</v>
      </c>
    </row>
    <row r="14" spans="2:12" x14ac:dyDescent="0.3">
      <c r="C14" s="5"/>
      <c r="D14" s="5"/>
      <c r="E14" s="5"/>
      <c r="F14" s="5"/>
      <c r="G14" s="5"/>
      <c r="H14" s="5"/>
    </row>
    <row r="15" spans="2:12" x14ac:dyDescent="0.3">
      <c r="C15" s="5"/>
      <c r="D15" s="5"/>
      <c r="E15" s="5"/>
      <c r="F15" s="5"/>
      <c r="G15" s="5"/>
      <c r="H15" s="5"/>
    </row>
    <row r="16" spans="2:12" x14ac:dyDescent="0.3">
      <c r="C16" s="5"/>
      <c r="D16" s="5"/>
      <c r="E16" s="5"/>
      <c r="F16" s="5"/>
      <c r="G16" s="5"/>
      <c r="H16" s="5"/>
    </row>
    <row r="17" spans="3:8" x14ac:dyDescent="0.3">
      <c r="C17" s="5"/>
      <c r="D17" s="5"/>
      <c r="E17" s="5"/>
      <c r="F17" s="5"/>
      <c r="G17" s="5"/>
      <c r="H17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6"/>
  <sheetViews>
    <sheetView workbookViewId="0">
      <selection activeCell="M5" sqref="M5"/>
    </sheetView>
  </sheetViews>
  <sheetFormatPr defaultRowHeight="14.4" x14ac:dyDescent="0.3"/>
  <cols>
    <col min="2" max="2" width="17.44140625" customWidth="1"/>
    <col min="3" max="7" width="11.44140625" bestFit="1" customWidth="1"/>
    <col min="8" max="9" width="11.5546875" bestFit="1" customWidth="1"/>
  </cols>
  <sheetData>
    <row r="1" spans="1:18" x14ac:dyDescent="0.3">
      <c r="A1" s="42"/>
      <c r="B1" s="43"/>
      <c r="C1" s="131" t="s">
        <v>120</v>
      </c>
      <c r="D1" s="131"/>
      <c r="E1" s="131"/>
      <c r="F1" s="43"/>
      <c r="G1" s="43"/>
      <c r="H1" s="43"/>
      <c r="I1" s="44"/>
    </row>
    <row r="2" spans="1:18" ht="22.5" customHeight="1" x14ac:dyDescent="0.3">
      <c r="A2" s="34"/>
      <c r="B2" s="36" t="s">
        <v>106</v>
      </c>
      <c r="C2" s="22" t="s">
        <v>21</v>
      </c>
      <c r="D2" s="22" t="s">
        <v>22</v>
      </c>
      <c r="E2" s="22" t="s">
        <v>111</v>
      </c>
      <c r="F2" s="35" t="s">
        <v>107</v>
      </c>
      <c r="G2" s="35" t="s">
        <v>139</v>
      </c>
      <c r="H2" s="35" t="s">
        <v>108</v>
      </c>
      <c r="I2" s="35" t="s">
        <v>109</v>
      </c>
    </row>
    <row r="3" spans="1:18" x14ac:dyDescent="0.3">
      <c r="A3" s="8">
        <v>2002</v>
      </c>
      <c r="B3" s="12">
        <v>21.2</v>
      </c>
      <c r="C3" s="29">
        <v>52.7</v>
      </c>
      <c r="D3" s="29">
        <v>57.6</v>
      </c>
      <c r="E3" s="29">
        <v>55.2</v>
      </c>
      <c r="F3" s="29">
        <v>61.9</v>
      </c>
      <c r="G3" s="29">
        <v>79.900000000000006</v>
      </c>
      <c r="H3" s="29">
        <v>12.883620562011302</v>
      </c>
      <c r="I3" s="68">
        <v>0.81872948145131452</v>
      </c>
      <c r="K3" s="14"/>
      <c r="L3" s="14"/>
      <c r="M3" s="14"/>
      <c r="N3" s="14"/>
      <c r="O3" s="14"/>
      <c r="P3" s="14"/>
      <c r="Q3" s="14"/>
      <c r="R3" s="4"/>
    </row>
    <row r="4" spans="1:18" x14ac:dyDescent="0.3">
      <c r="A4" s="8">
        <v>2003</v>
      </c>
      <c r="B4" s="12">
        <v>20.7</v>
      </c>
      <c r="C4" s="29">
        <v>52.1</v>
      </c>
      <c r="D4" s="29">
        <v>57</v>
      </c>
      <c r="E4" s="29">
        <v>54.6</v>
      </c>
      <c r="F4" s="29">
        <v>63.4</v>
      </c>
      <c r="G4" s="29">
        <v>80.2</v>
      </c>
      <c r="H4" s="29">
        <v>13.33957816139694</v>
      </c>
      <c r="I4" s="68">
        <v>0.72581786673010917</v>
      </c>
      <c r="K4" s="14"/>
      <c r="L4" s="14"/>
      <c r="M4" s="14"/>
      <c r="N4" s="14"/>
      <c r="O4" s="14"/>
      <c r="P4" s="14"/>
      <c r="Q4" s="14"/>
      <c r="R4" s="4"/>
    </row>
    <row r="5" spans="1:18" x14ac:dyDescent="0.3">
      <c r="A5" s="8">
        <v>2004</v>
      </c>
      <c r="B5" s="12">
        <v>22</v>
      </c>
      <c r="C5" s="29">
        <v>51.9</v>
      </c>
      <c r="D5" s="29">
        <v>56.5</v>
      </c>
      <c r="E5" s="29">
        <v>54.3</v>
      </c>
      <c r="F5" s="29">
        <v>63.6</v>
      </c>
      <c r="G5" s="29">
        <v>80</v>
      </c>
      <c r="H5" s="29">
        <v>13.642968689472509</v>
      </c>
      <c r="I5" s="68">
        <v>0.8261469806473033</v>
      </c>
      <c r="K5" s="14"/>
      <c r="L5" s="14"/>
      <c r="M5" s="14"/>
      <c r="N5" s="14"/>
      <c r="O5" s="14"/>
      <c r="P5" s="14"/>
      <c r="Q5" s="14"/>
      <c r="R5" s="4"/>
    </row>
    <row r="6" spans="1:18" x14ac:dyDescent="0.3">
      <c r="A6" s="8">
        <v>2005</v>
      </c>
      <c r="B6" s="12">
        <v>23.1</v>
      </c>
      <c r="C6" s="29">
        <v>51.9</v>
      </c>
      <c r="D6" s="29">
        <v>56.2</v>
      </c>
      <c r="E6" s="29">
        <v>54.1</v>
      </c>
      <c r="F6" s="29">
        <v>61.8</v>
      </c>
      <c r="G6" s="29">
        <v>79.5</v>
      </c>
      <c r="H6" s="29">
        <v>13.824855405756759</v>
      </c>
      <c r="I6" s="68">
        <v>0.91323959049506975</v>
      </c>
      <c r="K6" s="14"/>
      <c r="L6" s="14"/>
      <c r="M6" s="14"/>
      <c r="N6" s="14"/>
      <c r="O6" s="14"/>
      <c r="P6" s="14"/>
      <c r="Q6" s="14"/>
      <c r="R6" s="4"/>
    </row>
    <row r="7" spans="1:18" x14ac:dyDescent="0.3">
      <c r="A7" s="8">
        <v>2006</v>
      </c>
      <c r="B7" s="12">
        <v>23.5</v>
      </c>
      <c r="C7" s="29">
        <v>51.8</v>
      </c>
      <c r="D7" s="29">
        <v>56.5</v>
      </c>
      <c r="E7" s="29">
        <v>54.2</v>
      </c>
      <c r="F7" s="29">
        <v>61.8</v>
      </c>
      <c r="G7" s="29">
        <v>79.599999999999994</v>
      </c>
      <c r="H7" s="29">
        <v>13.818528115307512</v>
      </c>
      <c r="I7" s="68">
        <v>0.95143076123734593</v>
      </c>
      <c r="K7" s="14"/>
      <c r="L7" s="14"/>
      <c r="M7" s="14"/>
      <c r="N7" s="14"/>
      <c r="O7" s="14"/>
      <c r="P7" s="14"/>
      <c r="Q7" s="14"/>
      <c r="R7" s="4"/>
    </row>
    <row r="8" spans="1:18" x14ac:dyDescent="0.3">
      <c r="A8" s="8">
        <v>2007</v>
      </c>
      <c r="B8" s="12">
        <v>23.7</v>
      </c>
      <c r="C8" s="29">
        <v>52.6</v>
      </c>
      <c r="D8" s="29">
        <v>57.1</v>
      </c>
      <c r="E8" s="29">
        <v>54.9</v>
      </c>
      <c r="F8" s="29">
        <v>55.1</v>
      </c>
      <c r="G8" s="29">
        <v>76.2</v>
      </c>
      <c r="H8" s="29">
        <v>13.568314041068458</v>
      </c>
      <c r="I8" s="68">
        <v>0.99314580528812924</v>
      </c>
      <c r="K8" s="14"/>
      <c r="L8" s="14"/>
      <c r="M8" s="14"/>
      <c r="N8" s="14"/>
      <c r="O8" s="14"/>
      <c r="P8" s="14"/>
      <c r="Q8" s="14"/>
      <c r="R8" s="4"/>
    </row>
    <row r="9" spans="1:18" x14ac:dyDescent="0.3">
      <c r="A9" s="8">
        <v>2008</v>
      </c>
      <c r="B9" s="12">
        <v>23.9</v>
      </c>
      <c r="C9" s="29">
        <v>54</v>
      </c>
      <c r="D9" s="29">
        <v>58.8</v>
      </c>
      <c r="E9" s="29">
        <v>56.5</v>
      </c>
      <c r="F9" s="29">
        <v>49.3</v>
      </c>
      <c r="G9" s="29">
        <v>66.599999999999994</v>
      </c>
      <c r="H9" s="29">
        <v>12.832143556328026</v>
      </c>
      <c r="I9" s="68">
        <v>1.0855151481912195</v>
      </c>
      <c r="K9" s="14"/>
      <c r="L9" s="14"/>
      <c r="M9" s="14"/>
      <c r="N9" s="14"/>
      <c r="O9" s="14"/>
      <c r="P9" s="14"/>
      <c r="Q9" s="14"/>
      <c r="R9" s="4"/>
    </row>
    <row r="10" spans="1:18" x14ac:dyDescent="0.3">
      <c r="A10" s="8">
        <v>2009</v>
      </c>
      <c r="B10" s="12">
        <v>23.2</v>
      </c>
      <c r="C10" s="29">
        <v>55</v>
      </c>
      <c r="D10" s="29">
        <v>60.3</v>
      </c>
      <c r="E10" s="29">
        <v>57.7</v>
      </c>
      <c r="F10" s="29">
        <v>45.1</v>
      </c>
      <c r="G10" s="29">
        <v>57.9</v>
      </c>
      <c r="H10" s="29">
        <v>12.229738086681161</v>
      </c>
      <c r="I10" s="68">
        <v>1.0839019493473605</v>
      </c>
      <c r="K10" s="14"/>
      <c r="L10" s="14"/>
      <c r="M10" s="14"/>
      <c r="N10" s="14"/>
      <c r="O10" s="14"/>
      <c r="P10" s="14"/>
      <c r="Q10" s="14"/>
      <c r="R10" s="4"/>
    </row>
    <row r="11" spans="1:18" x14ac:dyDescent="0.3">
      <c r="A11" s="8">
        <v>2010</v>
      </c>
      <c r="B11" s="12">
        <v>22.6</v>
      </c>
      <c r="C11" s="29">
        <v>55.9</v>
      </c>
      <c r="D11" s="29">
        <v>61.1</v>
      </c>
      <c r="E11" s="29">
        <v>58.6</v>
      </c>
      <c r="F11" s="29">
        <v>43.8</v>
      </c>
      <c r="G11" s="29">
        <v>53.9</v>
      </c>
      <c r="H11" s="29">
        <v>11.819757024500374</v>
      </c>
      <c r="I11" s="68">
        <v>1.0637936638251113</v>
      </c>
      <c r="K11" s="14"/>
      <c r="L11" s="14"/>
      <c r="M11" s="14"/>
      <c r="N11" s="14"/>
      <c r="O11" s="14"/>
      <c r="P11" s="14"/>
      <c r="Q11" s="14"/>
      <c r="R11" s="4"/>
    </row>
    <row r="12" spans="1:18" x14ac:dyDescent="0.3">
      <c r="A12" s="8">
        <v>2011</v>
      </c>
      <c r="B12" s="12">
        <v>22.5</v>
      </c>
      <c r="C12" s="29">
        <v>57</v>
      </c>
      <c r="D12" s="29">
        <v>63</v>
      </c>
      <c r="E12" s="29">
        <v>60.1</v>
      </c>
      <c r="F12" s="29">
        <v>38.700000000000003</v>
      </c>
      <c r="G12" s="29">
        <v>46.5</v>
      </c>
      <c r="H12" s="29">
        <v>11.075602287550018</v>
      </c>
      <c r="I12" s="68">
        <v>1.1245401502369223</v>
      </c>
      <c r="K12" s="14"/>
      <c r="L12" s="14"/>
      <c r="M12" s="14"/>
      <c r="N12" s="14"/>
      <c r="O12" s="14"/>
      <c r="P12" s="14"/>
      <c r="Q12" s="14"/>
      <c r="R12" s="4"/>
    </row>
    <row r="13" spans="1:18" x14ac:dyDescent="0.3">
      <c r="A13" s="8">
        <v>2012</v>
      </c>
      <c r="B13" s="12">
        <v>22.2</v>
      </c>
      <c r="C13" s="29">
        <v>59.4</v>
      </c>
      <c r="D13" s="29">
        <v>65</v>
      </c>
      <c r="E13" s="29">
        <v>62.3</v>
      </c>
      <c r="F13" s="29">
        <v>32.299999999999997</v>
      </c>
      <c r="G13" s="29">
        <v>39.700000000000003</v>
      </c>
      <c r="H13" s="29">
        <v>9.9423511050602897</v>
      </c>
      <c r="I13" s="68">
        <v>1.210366467081017</v>
      </c>
      <c r="K13" s="14"/>
      <c r="L13" s="14"/>
      <c r="M13" s="14"/>
      <c r="N13" s="14"/>
      <c r="O13" s="14"/>
      <c r="P13" s="14"/>
      <c r="Q13" s="14"/>
      <c r="R13" s="4"/>
    </row>
    <row r="14" spans="1:18" x14ac:dyDescent="0.3">
      <c r="A14" s="8">
        <v>2013</v>
      </c>
      <c r="B14" s="12">
        <v>21.5</v>
      </c>
      <c r="C14" s="29">
        <v>59.9</v>
      </c>
      <c r="D14" s="29">
        <v>65.7</v>
      </c>
      <c r="E14" s="29">
        <v>62.9</v>
      </c>
      <c r="F14" s="29">
        <v>32.9</v>
      </c>
      <c r="G14" s="29">
        <v>38.700000000000003</v>
      </c>
      <c r="H14" s="29">
        <v>9.7004734995617561</v>
      </c>
      <c r="I14" s="68">
        <v>1.1677446844344395</v>
      </c>
      <c r="K14" s="14"/>
      <c r="L14" s="14"/>
      <c r="M14" s="14"/>
      <c r="N14" s="14"/>
      <c r="O14" s="14"/>
      <c r="P14" s="14"/>
      <c r="Q14" s="14"/>
      <c r="R14" s="4"/>
    </row>
    <row r="15" spans="1:18" x14ac:dyDescent="0.3">
      <c r="A15" s="8">
        <v>2014</v>
      </c>
      <c r="B15" s="12">
        <v>21.5</v>
      </c>
      <c r="C15" s="29">
        <v>61</v>
      </c>
      <c r="D15" s="29">
        <v>66.8</v>
      </c>
      <c r="E15" s="29">
        <v>63.9</v>
      </c>
      <c r="F15" s="29">
        <v>30.4</v>
      </c>
      <c r="G15" s="29">
        <v>37.1</v>
      </c>
      <c r="H15" s="29">
        <v>9.2295346348353355</v>
      </c>
      <c r="I15" s="68">
        <v>1.2097962833525489</v>
      </c>
      <c r="K15" s="14"/>
      <c r="L15" s="14"/>
      <c r="M15" s="14"/>
      <c r="N15" s="14"/>
      <c r="O15" s="14"/>
      <c r="P15" s="14"/>
      <c r="Q15" s="14"/>
      <c r="R15" s="4"/>
    </row>
    <row r="16" spans="1:18" x14ac:dyDescent="0.3">
      <c r="A16" s="8">
        <v>2015</v>
      </c>
      <c r="B16" s="12">
        <v>20.3</v>
      </c>
      <c r="C16" s="12">
        <v>61.4</v>
      </c>
      <c r="D16" s="12">
        <v>67.2</v>
      </c>
      <c r="E16" s="12">
        <v>64.400000000000006</v>
      </c>
      <c r="F16" s="12">
        <v>29.1</v>
      </c>
      <c r="G16" s="12">
        <v>36</v>
      </c>
      <c r="H16" s="12">
        <v>9.0744228125465476</v>
      </c>
      <c r="I16" s="23">
        <v>1.1045468468550679</v>
      </c>
      <c r="K16" s="14"/>
      <c r="L16" s="14"/>
      <c r="M16" s="14"/>
      <c r="N16" s="14"/>
      <c r="O16" s="14"/>
      <c r="P16" s="14"/>
      <c r="Q16" s="14"/>
      <c r="R16" s="4"/>
    </row>
    <row r="17" spans="1:18" x14ac:dyDescent="0.3">
      <c r="A17" s="2">
        <v>2016</v>
      </c>
      <c r="B17" s="12">
        <v>18.8</v>
      </c>
      <c r="C17" s="12">
        <v>61.5</v>
      </c>
      <c r="D17" s="12">
        <v>67.400000000000006</v>
      </c>
      <c r="E17" s="12">
        <v>64.5</v>
      </c>
      <c r="F17" s="12">
        <v>28.6</v>
      </c>
      <c r="G17" s="12">
        <v>35.6</v>
      </c>
      <c r="H17" s="12">
        <v>9.0546245613373575</v>
      </c>
      <c r="I17" s="23">
        <v>0.96451339244794065</v>
      </c>
      <c r="K17" s="14"/>
      <c r="L17" s="14"/>
      <c r="M17" s="14"/>
      <c r="N17" s="14"/>
      <c r="O17" s="14"/>
      <c r="P17" s="14"/>
      <c r="Q17" s="14"/>
      <c r="R17" s="4"/>
    </row>
    <row r="18" spans="1:18" x14ac:dyDescent="0.3">
      <c r="A18" s="2">
        <v>2017</v>
      </c>
      <c r="B18" s="12">
        <v>18.7</v>
      </c>
      <c r="C18" s="12">
        <v>61.9</v>
      </c>
      <c r="D18" s="12">
        <v>67.7</v>
      </c>
      <c r="E18" s="12">
        <v>64.900000000000006</v>
      </c>
      <c r="F18" s="12">
        <v>27</v>
      </c>
      <c r="G18" s="12">
        <v>34</v>
      </c>
      <c r="H18" s="12">
        <v>8.9917721228146181</v>
      </c>
      <c r="I18" s="23">
        <v>0.95737606782166296</v>
      </c>
      <c r="K18" s="14"/>
      <c r="L18" s="14"/>
      <c r="M18" s="14"/>
      <c r="N18" s="14"/>
      <c r="O18" s="14"/>
      <c r="P18" s="14"/>
      <c r="Q18" s="14"/>
      <c r="R18" s="4"/>
    </row>
    <row r="19" spans="1:18" x14ac:dyDescent="0.3">
      <c r="A19" s="8">
        <v>2018</v>
      </c>
      <c r="B19" s="12">
        <v>19.399999999999999</v>
      </c>
      <c r="C19" s="12">
        <v>62.2</v>
      </c>
      <c r="D19" s="12">
        <v>67.8</v>
      </c>
      <c r="E19" s="12">
        <v>65.099999999999994</v>
      </c>
      <c r="F19" s="12">
        <v>26.2</v>
      </c>
      <c r="G19" s="12">
        <v>32.1</v>
      </c>
      <c r="H19" s="12">
        <v>8.9971073871244513</v>
      </c>
      <c r="I19" s="23">
        <v>1.0275595275139373</v>
      </c>
      <c r="K19" s="14"/>
      <c r="L19" s="14"/>
      <c r="M19" s="14"/>
      <c r="N19" s="14"/>
      <c r="O19" s="14"/>
      <c r="P19" s="14"/>
      <c r="Q19" s="14"/>
      <c r="R19" s="4"/>
    </row>
    <row r="20" spans="1:18" x14ac:dyDescent="0.3">
      <c r="A20" s="8">
        <v>2019</v>
      </c>
      <c r="B20" s="12">
        <v>19.5</v>
      </c>
      <c r="C20" s="12">
        <v>62.6</v>
      </c>
      <c r="D20" s="12">
        <v>68.400000000000006</v>
      </c>
      <c r="E20" s="12">
        <v>65.5</v>
      </c>
      <c r="F20" s="12">
        <v>24.7</v>
      </c>
      <c r="G20" s="12">
        <v>29</v>
      </c>
      <c r="H20" s="12">
        <v>8.8962487793931597</v>
      </c>
      <c r="I20" s="23">
        <v>1.043289950299513</v>
      </c>
      <c r="K20" s="14"/>
      <c r="L20" s="14"/>
      <c r="M20" s="14"/>
      <c r="N20" s="14"/>
      <c r="O20" s="14"/>
      <c r="P20" s="14"/>
      <c r="Q20" s="14"/>
      <c r="R20" s="4"/>
    </row>
    <row r="21" spans="1:18" x14ac:dyDescent="0.3">
      <c r="A21" s="8">
        <v>2020</v>
      </c>
      <c r="B21" s="12">
        <v>19.399999999999999</v>
      </c>
      <c r="C21" s="12">
        <v>62.8</v>
      </c>
      <c r="D21" s="12">
        <v>68.8</v>
      </c>
      <c r="E21" s="12">
        <v>65.900000000000006</v>
      </c>
      <c r="F21" s="12">
        <v>24.5</v>
      </c>
      <c r="G21" s="12">
        <v>27.7</v>
      </c>
      <c r="H21" s="12">
        <v>8.8692602780555081</v>
      </c>
      <c r="I21" s="23">
        <v>1.0410865579254611</v>
      </c>
      <c r="J21" s="14"/>
      <c r="K21" s="14"/>
      <c r="L21" s="14"/>
      <c r="M21" s="14"/>
      <c r="N21" s="14"/>
      <c r="O21" s="14"/>
      <c r="P21" s="14"/>
      <c r="Q21" s="14"/>
      <c r="R21" s="4"/>
    </row>
    <row r="22" spans="1:18" x14ac:dyDescent="0.3">
      <c r="A22" s="45">
        <v>2021</v>
      </c>
      <c r="B22" s="12">
        <v>19.100000000000001</v>
      </c>
      <c r="C22" s="12">
        <v>59.8</v>
      </c>
      <c r="D22" s="12">
        <v>65.2</v>
      </c>
      <c r="E22" s="12">
        <v>62.6</v>
      </c>
      <c r="F22" s="12">
        <v>25.1</v>
      </c>
      <c r="G22" s="12">
        <v>28.4</v>
      </c>
      <c r="H22" s="12">
        <v>11.470775370851282</v>
      </c>
      <c r="I22" s="23">
        <v>0.75303406797324968</v>
      </c>
    </row>
    <row r="23" spans="1:18" x14ac:dyDescent="0.3">
      <c r="A23" s="11">
        <v>2022</v>
      </c>
      <c r="B23" s="46">
        <v>18.7</v>
      </c>
      <c r="C23" s="12">
        <v>61.7</v>
      </c>
      <c r="D23" s="46">
        <v>67.400000000000006</v>
      </c>
      <c r="E23" s="46">
        <v>64.599999999999994</v>
      </c>
      <c r="F23" s="46">
        <v>25</v>
      </c>
      <c r="G23" s="46">
        <v>28.2</v>
      </c>
      <c r="H23" s="12">
        <v>10.025016662961596</v>
      </c>
      <c r="I23" s="23">
        <v>0.85576377135924364</v>
      </c>
    </row>
    <row r="24" spans="1:18" x14ac:dyDescent="0.3">
      <c r="A24" s="45">
        <v>2023</v>
      </c>
      <c r="B24" s="46">
        <v>18.3</v>
      </c>
      <c r="C24" s="12">
        <v>63.2</v>
      </c>
      <c r="D24" s="12">
        <v>69.2</v>
      </c>
      <c r="E24" s="12">
        <v>66.3</v>
      </c>
      <c r="F24" s="12">
        <v>24.3</v>
      </c>
      <c r="G24" s="12">
        <v>27.4</v>
      </c>
      <c r="H24" s="12">
        <v>8.9406260479535415</v>
      </c>
      <c r="I24" s="23">
        <v>0.92369477259458888</v>
      </c>
    </row>
    <row r="25" spans="1:18" x14ac:dyDescent="0.3">
      <c r="A25" s="11">
        <v>2024</v>
      </c>
      <c r="B25" s="112">
        <v>18</v>
      </c>
      <c r="C25" s="113">
        <v>63.8</v>
      </c>
      <c r="D25" s="113">
        <v>69.400000000000006</v>
      </c>
      <c r="E25" s="113">
        <v>66.7</v>
      </c>
      <c r="F25" s="113">
        <v>23.2</v>
      </c>
      <c r="G25" s="113">
        <v>26.4</v>
      </c>
      <c r="H25" s="113">
        <v>8.831796688566385</v>
      </c>
      <c r="I25" s="114">
        <v>0.90649157929834323</v>
      </c>
    </row>
    <row r="26" spans="1:18" x14ac:dyDescent="0.3">
      <c r="A26" s="45">
        <v>2025</v>
      </c>
      <c r="B26" s="46">
        <v>17.8</v>
      </c>
      <c r="C26" s="46">
        <v>64</v>
      </c>
      <c r="D26" s="46">
        <v>69.599999999999994</v>
      </c>
      <c r="E26" s="46">
        <v>66.900000000000006</v>
      </c>
      <c r="F26" s="46">
        <v>23.1</v>
      </c>
      <c r="G26" s="46">
        <v>26.1</v>
      </c>
      <c r="H26" s="12">
        <v>8.8297092856533297</v>
      </c>
      <c r="I26" s="23">
        <v>0.88852076621039511</v>
      </c>
    </row>
  </sheetData>
  <dataConsolidate>
    <dataRefs count="2">
      <dataRef ref="D3" sheet="Mortality Indicators over time"/>
      <dataRef ref="E3" sheet="Mortality Indicators over time"/>
    </dataRefs>
  </dataConsolidate>
  <mergeCells count="1">
    <mergeCell ref="C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26"/>
  <sheetViews>
    <sheetView workbookViewId="0">
      <selection activeCell="F2" sqref="F2:F26"/>
    </sheetView>
  </sheetViews>
  <sheetFormatPr defaultRowHeight="14.4" x14ac:dyDescent="0.3"/>
  <cols>
    <col min="2" max="2" width="10.6640625" customWidth="1"/>
    <col min="3" max="3" width="13.44140625" customWidth="1"/>
    <col min="4" max="4" width="14.6640625" customWidth="1"/>
    <col min="5" max="5" width="12.5546875" customWidth="1"/>
    <col min="7" max="7" width="10.6640625" bestFit="1" customWidth="1"/>
    <col min="8" max="8" width="11.5546875" customWidth="1"/>
    <col min="9" max="9" width="11.88671875" customWidth="1"/>
    <col min="10" max="10" width="14.5546875" customWidth="1"/>
  </cols>
  <sheetData>
    <row r="2" spans="1:10" ht="24" x14ac:dyDescent="0.3">
      <c r="A2" s="39"/>
      <c r="B2" s="39" t="s">
        <v>18</v>
      </c>
      <c r="C2" s="39" t="s">
        <v>55</v>
      </c>
      <c r="D2" s="39" t="s">
        <v>73</v>
      </c>
      <c r="E2" s="39" t="s">
        <v>19</v>
      </c>
      <c r="F2" s="21"/>
      <c r="G2" s="15"/>
    </row>
    <row r="3" spans="1:10" x14ac:dyDescent="0.3">
      <c r="A3" s="40">
        <v>2002</v>
      </c>
      <c r="B3" s="57">
        <v>982627</v>
      </c>
      <c r="C3" s="57">
        <v>600819</v>
      </c>
      <c r="D3" s="118">
        <v>216649</v>
      </c>
      <c r="E3" s="58">
        <v>36.05894620509671</v>
      </c>
      <c r="F3" s="30"/>
      <c r="G3" s="5"/>
      <c r="H3" s="5"/>
      <c r="I3" s="5"/>
      <c r="J3" s="5"/>
    </row>
    <row r="4" spans="1:10" x14ac:dyDescent="0.3">
      <c r="A4" s="40">
        <v>2003</v>
      </c>
      <c r="B4" s="57">
        <v>969589</v>
      </c>
      <c r="C4" s="57">
        <v>627928</v>
      </c>
      <c r="D4" s="118">
        <v>242358</v>
      </c>
      <c r="E4" s="58">
        <v>38.596463288784697</v>
      </c>
      <c r="F4" s="30"/>
      <c r="G4" s="5"/>
      <c r="H4" s="5"/>
      <c r="I4" s="5"/>
      <c r="J4" s="5"/>
    </row>
    <row r="5" spans="1:10" x14ac:dyDescent="0.3">
      <c r="A5" s="40">
        <v>2004</v>
      </c>
      <c r="B5" s="57">
        <v>1042137</v>
      </c>
      <c r="C5" s="57">
        <v>649085</v>
      </c>
      <c r="D5" s="118">
        <v>253597</v>
      </c>
      <c r="E5" s="58">
        <v>39.069921504887652</v>
      </c>
      <c r="F5" s="30"/>
      <c r="G5" s="5"/>
      <c r="H5" s="5"/>
      <c r="I5" s="5"/>
      <c r="J5" s="5"/>
    </row>
    <row r="6" spans="1:10" x14ac:dyDescent="0.3">
      <c r="A6" s="40">
        <v>2005</v>
      </c>
      <c r="B6" s="57">
        <v>1105210</v>
      </c>
      <c r="C6" s="57">
        <v>665558</v>
      </c>
      <c r="D6" s="118">
        <v>272508</v>
      </c>
      <c r="E6" s="58">
        <v>40.944290354860129</v>
      </c>
      <c r="F6" s="30"/>
      <c r="G6" s="5"/>
      <c r="H6" s="5"/>
      <c r="I6" s="5"/>
      <c r="J6" s="5"/>
    </row>
    <row r="7" spans="1:10" x14ac:dyDescent="0.3">
      <c r="A7" s="40">
        <v>2006</v>
      </c>
      <c r="B7" s="57">
        <v>1137244</v>
      </c>
      <c r="C7" s="57">
        <v>673516</v>
      </c>
      <c r="D7" s="118">
        <v>275348</v>
      </c>
      <c r="E7" s="58">
        <v>40.882176518449448</v>
      </c>
      <c r="F7" s="30"/>
      <c r="G7" s="5"/>
      <c r="H7" s="5"/>
      <c r="I7" s="5"/>
      <c r="J7" s="5"/>
    </row>
    <row r="8" spans="1:10" x14ac:dyDescent="0.3">
      <c r="A8" s="40">
        <v>2007</v>
      </c>
      <c r="B8" s="57">
        <v>1160263</v>
      </c>
      <c r="C8" s="57">
        <v>669914</v>
      </c>
      <c r="D8" s="118">
        <v>252392</v>
      </c>
      <c r="E8" s="58">
        <v>37.675283693130766</v>
      </c>
      <c r="F8" s="30"/>
      <c r="G8" s="5"/>
      <c r="H8" s="5"/>
      <c r="I8" s="5"/>
      <c r="J8" s="5"/>
    </row>
    <row r="9" spans="1:10" x14ac:dyDescent="0.3">
      <c r="A9" s="40">
        <v>2008</v>
      </c>
      <c r="B9" s="57">
        <v>1185987</v>
      </c>
      <c r="C9" s="57">
        <v>642486</v>
      </c>
      <c r="D9" s="118">
        <v>215337</v>
      </c>
      <c r="E9" s="58">
        <v>33.516216695772357</v>
      </c>
      <c r="F9" s="30"/>
      <c r="G9" s="5"/>
      <c r="H9" s="5"/>
      <c r="I9" s="5"/>
      <c r="J9" s="5"/>
    </row>
    <row r="10" spans="1:10" x14ac:dyDescent="0.3">
      <c r="A10" s="40">
        <v>2009</v>
      </c>
      <c r="B10" s="57">
        <v>1171502</v>
      </c>
      <c r="C10" s="57">
        <v>621064</v>
      </c>
      <c r="D10" s="118">
        <v>186697</v>
      </c>
      <c r="E10" s="58">
        <v>30.060831089871577</v>
      </c>
      <c r="F10" s="30"/>
      <c r="G10" s="5"/>
      <c r="H10" s="5"/>
      <c r="I10" s="5"/>
      <c r="J10" s="5"/>
    </row>
    <row r="11" spans="1:10" x14ac:dyDescent="0.3">
      <c r="A11" s="40">
        <v>2010</v>
      </c>
      <c r="B11" s="57">
        <v>1156746</v>
      </c>
      <c r="C11" s="57">
        <v>608810</v>
      </c>
      <c r="D11" s="118">
        <v>169076</v>
      </c>
      <c r="E11" s="58">
        <v>27.771554343719718</v>
      </c>
      <c r="F11" s="30"/>
      <c r="G11" s="5"/>
      <c r="H11" s="5"/>
      <c r="I11" s="5"/>
      <c r="J11" s="5"/>
    </row>
    <row r="12" spans="1:10" x14ac:dyDescent="0.3">
      <c r="A12" s="40">
        <v>2011</v>
      </c>
      <c r="B12" s="57">
        <v>1167060</v>
      </c>
      <c r="C12" s="57">
        <v>579091</v>
      </c>
      <c r="D12" s="118">
        <v>140809</v>
      </c>
      <c r="E12" s="58">
        <v>24.315522085475337</v>
      </c>
      <c r="F12" s="30"/>
      <c r="G12" s="5"/>
      <c r="H12" s="5"/>
      <c r="I12" s="5"/>
      <c r="J12" s="5"/>
    </row>
    <row r="13" spans="1:10" x14ac:dyDescent="0.3">
      <c r="A13" s="40">
        <v>2012</v>
      </c>
      <c r="B13" s="57">
        <v>1171207</v>
      </c>
      <c r="C13" s="57">
        <v>528193</v>
      </c>
      <c r="D13" s="118">
        <v>114252</v>
      </c>
      <c r="E13" s="58">
        <v>21.630729676462959</v>
      </c>
      <c r="F13" s="30"/>
      <c r="G13" s="5"/>
      <c r="H13" s="5"/>
      <c r="I13" s="5"/>
      <c r="J13" s="5"/>
    </row>
    <row r="14" spans="1:10" x14ac:dyDescent="0.3">
      <c r="A14" s="40">
        <v>2013</v>
      </c>
      <c r="B14" s="57">
        <v>1153570</v>
      </c>
      <c r="C14" s="57">
        <v>523445</v>
      </c>
      <c r="D14" s="118">
        <v>104330</v>
      </c>
      <c r="E14" s="58">
        <v>19.931415908070569</v>
      </c>
      <c r="F14" s="30"/>
      <c r="G14" s="5"/>
      <c r="H14" s="5"/>
      <c r="I14" s="5"/>
      <c r="J14" s="5"/>
    </row>
    <row r="15" spans="1:10" x14ac:dyDescent="0.3">
      <c r="A15" s="40">
        <v>2014</v>
      </c>
      <c r="B15" s="57">
        <v>1169536</v>
      </c>
      <c r="C15" s="57">
        <v>506120</v>
      </c>
      <c r="D15" s="118">
        <v>84283</v>
      </c>
      <c r="E15" s="58">
        <v>16.65277009404884</v>
      </c>
      <c r="F15" s="30"/>
      <c r="G15" s="5"/>
      <c r="H15" s="5"/>
      <c r="I15" s="5"/>
      <c r="J15" s="5"/>
    </row>
    <row r="16" spans="1:10" x14ac:dyDescent="0.3">
      <c r="A16" s="40">
        <v>2015</v>
      </c>
      <c r="B16" s="57">
        <v>1120064</v>
      </c>
      <c r="C16" s="57">
        <v>505168</v>
      </c>
      <c r="D16" s="118">
        <v>83672</v>
      </c>
      <c r="E16" s="58">
        <v>16.563202736515379</v>
      </c>
      <c r="F16" s="30"/>
      <c r="G16" s="5"/>
      <c r="H16" s="5"/>
      <c r="I16" s="5"/>
      <c r="J16" s="5"/>
    </row>
    <row r="17" spans="1:10" x14ac:dyDescent="0.3">
      <c r="A17" s="40">
        <v>2016</v>
      </c>
      <c r="B17" s="57">
        <v>1055340</v>
      </c>
      <c r="C17" s="57">
        <v>511007</v>
      </c>
      <c r="D17" s="118">
        <v>84622</v>
      </c>
      <c r="E17" s="58">
        <v>16.559851430606624</v>
      </c>
      <c r="F17" s="30"/>
      <c r="G17" s="5"/>
      <c r="H17" s="5"/>
      <c r="I17" s="5"/>
      <c r="J17" s="5"/>
    </row>
    <row r="18" spans="1:10" x14ac:dyDescent="0.3">
      <c r="A18" s="40">
        <v>2017</v>
      </c>
      <c r="B18" s="57">
        <v>1062148</v>
      </c>
      <c r="C18" s="57">
        <v>514426</v>
      </c>
      <c r="D18" s="118">
        <v>82835</v>
      </c>
      <c r="E18" s="58">
        <v>16.102413175072801</v>
      </c>
      <c r="F18" s="30"/>
      <c r="G18" s="5"/>
      <c r="H18" s="5"/>
      <c r="I18" s="5"/>
      <c r="J18" s="5"/>
    </row>
    <row r="19" spans="1:10" x14ac:dyDescent="0.3">
      <c r="A19" s="40">
        <v>2018</v>
      </c>
      <c r="B19" s="59">
        <v>1118566</v>
      </c>
      <c r="C19" s="59">
        <v>522182</v>
      </c>
      <c r="D19" s="118">
        <v>81158</v>
      </c>
      <c r="E19" s="60">
        <v>15.542090688687086</v>
      </c>
      <c r="F19" s="30"/>
      <c r="G19" s="5"/>
      <c r="H19" s="5"/>
      <c r="I19" s="5"/>
      <c r="J19" s="5"/>
    </row>
    <row r="20" spans="1:10" x14ac:dyDescent="0.3">
      <c r="A20" s="40">
        <v>2019</v>
      </c>
      <c r="B20" s="59">
        <v>1138289</v>
      </c>
      <c r="C20" s="59">
        <v>523898</v>
      </c>
      <c r="D20" s="118">
        <v>79929</v>
      </c>
      <c r="E20" s="60">
        <v>15.256595749554302</v>
      </c>
      <c r="F20" s="30"/>
      <c r="G20" s="5"/>
      <c r="H20" s="5"/>
      <c r="I20" s="5"/>
      <c r="J20" s="5"/>
    </row>
    <row r="21" spans="1:10" x14ac:dyDescent="0.3">
      <c r="A21" s="40">
        <v>2020</v>
      </c>
      <c r="B21" s="59">
        <v>1150914</v>
      </c>
      <c r="C21" s="59">
        <v>529444</v>
      </c>
      <c r="D21" s="118">
        <v>81186</v>
      </c>
      <c r="E21" s="60">
        <v>15.334199650954586</v>
      </c>
      <c r="F21" s="30"/>
      <c r="G21" s="5"/>
      <c r="H21" s="5"/>
      <c r="I21" s="5"/>
      <c r="J21" s="5"/>
    </row>
    <row r="22" spans="1:10" x14ac:dyDescent="0.3">
      <c r="A22" s="40">
        <v>2021</v>
      </c>
      <c r="B22" s="13">
        <v>1144526</v>
      </c>
      <c r="C22" s="13">
        <v>690939</v>
      </c>
      <c r="D22" s="119">
        <v>80300</v>
      </c>
      <c r="E22" s="61">
        <v>11.621865316619846</v>
      </c>
      <c r="F22" s="30"/>
    </row>
    <row r="23" spans="1:10" x14ac:dyDescent="0.3">
      <c r="A23" s="40">
        <v>2022</v>
      </c>
      <c r="B23" s="13">
        <v>1131070</v>
      </c>
      <c r="C23" s="13">
        <v>610193</v>
      </c>
      <c r="D23" s="119">
        <v>78642</v>
      </c>
      <c r="E23" s="61">
        <v>12.888053451940614</v>
      </c>
      <c r="F23" s="30"/>
    </row>
    <row r="24" spans="1:10" x14ac:dyDescent="0.3">
      <c r="A24" s="40">
        <v>2023</v>
      </c>
      <c r="B24" s="71">
        <v>1119345</v>
      </c>
      <c r="C24" s="116">
        <v>550549</v>
      </c>
      <c r="D24" s="120">
        <v>79627</v>
      </c>
      <c r="E24" s="72">
        <v>14.463199460901755</v>
      </c>
      <c r="F24" s="30"/>
    </row>
    <row r="25" spans="1:10" x14ac:dyDescent="0.3">
      <c r="A25" s="40">
        <v>2024</v>
      </c>
      <c r="B25" s="71">
        <v>1115478</v>
      </c>
      <c r="C25" s="116">
        <v>550474</v>
      </c>
      <c r="D25" s="120">
        <v>79703</v>
      </c>
      <c r="E25" s="72">
        <v>14.478976300424726</v>
      </c>
      <c r="F25" s="30"/>
    </row>
    <row r="26" spans="1:10" x14ac:dyDescent="0.3">
      <c r="A26" s="40">
        <v>2025</v>
      </c>
      <c r="B26" s="115">
        <v>1117840</v>
      </c>
      <c r="C26" s="117">
        <v>557164</v>
      </c>
      <c r="D26" s="120">
        <v>77639</v>
      </c>
      <c r="E26" s="111">
        <v>13.93467632510356</v>
      </c>
      <c r="F26" s="3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zoomScale="92" zoomScaleNormal="92" workbookViewId="0">
      <selection activeCell="M11" sqref="M11"/>
    </sheetView>
  </sheetViews>
  <sheetFormatPr defaultRowHeight="14.4" x14ac:dyDescent="0.3"/>
  <cols>
    <col min="2" max="2" width="10.88671875" customWidth="1"/>
    <col min="3" max="3" width="11.6640625" customWidth="1"/>
    <col min="4" max="5" width="9.33203125" customWidth="1"/>
    <col min="6" max="6" width="13.6640625" customWidth="1"/>
    <col min="7" max="7" width="11.5546875" customWidth="1"/>
    <col min="8" max="8" width="9.6640625" customWidth="1"/>
    <col min="17" max="17" width="9.33203125" customWidth="1"/>
  </cols>
  <sheetData>
    <row r="1" spans="1:15" ht="15" thickBot="1" x14ac:dyDescent="0.35">
      <c r="B1" s="123" t="s">
        <v>138</v>
      </c>
      <c r="C1" s="124"/>
      <c r="D1" s="125"/>
    </row>
    <row r="2" spans="1:15" ht="55.2" x14ac:dyDescent="0.3">
      <c r="A2" s="41"/>
      <c r="B2" s="33" t="s">
        <v>112</v>
      </c>
      <c r="C2" s="33" t="s">
        <v>113</v>
      </c>
      <c r="D2" s="132" t="s">
        <v>114</v>
      </c>
      <c r="E2" s="133" t="s">
        <v>115</v>
      </c>
      <c r="F2" s="133" t="s">
        <v>116</v>
      </c>
      <c r="G2" s="134" t="s">
        <v>122</v>
      </c>
      <c r="I2" s="10"/>
      <c r="J2" s="10"/>
      <c r="K2" s="10"/>
      <c r="L2" s="10"/>
      <c r="M2" s="10"/>
      <c r="N2" s="10"/>
    </row>
    <row r="3" spans="1:15" x14ac:dyDescent="0.3">
      <c r="A3" s="40">
        <v>2002</v>
      </c>
      <c r="B3" s="47">
        <v>17.82</v>
      </c>
      <c r="C3" s="23">
        <v>14.86</v>
      </c>
      <c r="D3" s="47">
        <v>10.220000000000001</v>
      </c>
      <c r="E3" s="47">
        <v>1.85</v>
      </c>
      <c r="F3" s="48">
        <v>8.7899999999999991</v>
      </c>
      <c r="G3" s="47">
        <v>4.0999999999999996</v>
      </c>
      <c r="I3" s="4"/>
      <c r="J3" s="4"/>
      <c r="K3" s="4"/>
      <c r="L3" s="37"/>
      <c r="M3" s="37"/>
      <c r="N3" s="37"/>
    </row>
    <row r="4" spans="1:15" x14ac:dyDescent="0.3">
      <c r="A4" s="40">
        <v>2003</v>
      </c>
      <c r="B4" s="47">
        <v>18.37</v>
      </c>
      <c r="C4" s="23">
        <v>15.26</v>
      </c>
      <c r="D4" s="47">
        <v>10.050000000000001</v>
      </c>
      <c r="E4" s="47">
        <v>1.77</v>
      </c>
      <c r="F4" s="48">
        <v>9.16</v>
      </c>
      <c r="G4" s="47">
        <v>4.3099999999999996</v>
      </c>
      <c r="I4" s="4"/>
      <c r="J4" s="4"/>
      <c r="K4" s="4"/>
      <c r="L4" s="37"/>
      <c r="M4" s="37"/>
      <c r="N4" s="37"/>
    </row>
    <row r="5" spans="1:15" x14ac:dyDescent="0.3">
      <c r="A5" s="40">
        <v>2004</v>
      </c>
      <c r="B5" s="47">
        <v>18.82</v>
      </c>
      <c r="C5" s="23">
        <v>15.57</v>
      </c>
      <c r="D5" s="47">
        <v>9.85</v>
      </c>
      <c r="E5" s="47">
        <v>1.69</v>
      </c>
      <c r="F5" s="48">
        <v>9.4700000000000006</v>
      </c>
      <c r="G5" s="47">
        <v>4.51</v>
      </c>
      <c r="I5" s="4"/>
      <c r="J5" s="4"/>
      <c r="K5" s="4"/>
      <c r="L5" s="37"/>
      <c r="M5" s="37"/>
      <c r="N5" s="37"/>
    </row>
    <row r="6" spans="1:15" x14ac:dyDescent="0.3">
      <c r="A6" s="40">
        <v>2005</v>
      </c>
      <c r="B6" s="47">
        <v>19.2</v>
      </c>
      <c r="C6" s="23">
        <v>15.8</v>
      </c>
      <c r="D6" s="47">
        <v>9.66</v>
      </c>
      <c r="E6" s="47">
        <v>1.62</v>
      </c>
      <c r="F6" s="48">
        <v>9.7200000000000006</v>
      </c>
      <c r="G6" s="47">
        <v>4.68</v>
      </c>
      <c r="I6" s="4"/>
      <c r="J6" s="4"/>
      <c r="K6" s="4"/>
      <c r="L6" s="37"/>
      <c r="M6" s="37"/>
      <c r="N6" s="37"/>
    </row>
    <row r="7" spans="1:15" x14ac:dyDescent="0.3">
      <c r="A7" s="40">
        <v>2006</v>
      </c>
      <c r="B7" s="47">
        <v>19.53</v>
      </c>
      <c r="C7" s="23">
        <v>15.98</v>
      </c>
      <c r="D7" s="47">
        <v>9.43</v>
      </c>
      <c r="E7" s="47">
        <v>1.54</v>
      </c>
      <c r="F7" s="48">
        <v>9.93</v>
      </c>
      <c r="G7" s="47">
        <v>4.84</v>
      </c>
      <c r="I7" s="4"/>
      <c r="J7" s="4"/>
      <c r="K7" s="4"/>
      <c r="L7" s="37"/>
      <c r="M7" s="37"/>
      <c r="N7" s="37"/>
    </row>
    <row r="8" spans="1:15" x14ac:dyDescent="0.3">
      <c r="A8" s="40">
        <v>2007</v>
      </c>
      <c r="B8" s="47">
        <v>19.87</v>
      </c>
      <c r="C8" s="23">
        <v>16.170000000000002</v>
      </c>
      <c r="D8" s="47">
        <v>9.19</v>
      </c>
      <c r="E8" s="47">
        <v>1.46</v>
      </c>
      <c r="F8" s="48">
        <v>10.1</v>
      </c>
      <c r="G8" s="47">
        <v>4.99</v>
      </c>
      <c r="I8" s="4"/>
      <c r="J8" s="4"/>
      <c r="K8" s="4"/>
      <c r="L8" s="37"/>
      <c r="M8" s="37"/>
      <c r="N8" s="37"/>
    </row>
    <row r="9" spans="1:15" x14ac:dyDescent="0.3">
      <c r="A9" s="40">
        <v>2008</v>
      </c>
      <c r="B9" s="47">
        <v>20.239999999999998</v>
      </c>
      <c r="C9" s="23">
        <v>16.39</v>
      </c>
      <c r="D9" s="47">
        <v>8.9700000000000006</v>
      </c>
      <c r="E9" s="47">
        <v>1.39</v>
      </c>
      <c r="F9" s="48">
        <v>10.3</v>
      </c>
      <c r="G9" s="47">
        <v>5.16</v>
      </c>
      <c r="I9" s="4"/>
      <c r="J9" s="4"/>
      <c r="K9" s="4"/>
      <c r="L9" s="37"/>
      <c r="M9" s="37"/>
      <c r="N9" s="37"/>
    </row>
    <row r="10" spans="1:15" x14ac:dyDescent="0.3">
      <c r="A10" s="40">
        <v>2009</v>
      </c>
      <c r="B10" s="47">
        <v>20.66</v>
      </c>
      <c r="C10" s="23">
        <v>16.64</v>
      </c>
      <c r="D10" s="47">
        <v>8.81</v>
      </c>
      <c r="E10" s="47">
        <v>1.35</v>
      </c>
      <c r="F10" s="48">
        <v>10.49</v>
      </c>
      <c r="G10" s="47">
        <v>5.32</v>
      </c>
      <c r="I10" s="4"/>
      <c r="J10" s="4"/>
      <c r="K10" s="4"/>
      <c r="L10" s="37"/>
      <c r="M10" s="37"/>
      <c r="N10" s="37"/>
    </row>
    <row r="11" spans="1:15" x14ac:dyDescent="0.3">
      <c r="A11" s="40">
        <v>2010</v>
      </c>
      <c r="B11" s="47">
        <v>21.09</v>
      </c>
      <c r="C11" s="23">
        <v>16.93</v>
      </c>
      <c r="D11" s="47">
        <v>8.7100000000000009</v>
      </c>
      <c r="E11" s="47">
        <v>1.33</v>
      </c>
      <c r="F11" s="48">
        <v>10.7</v>
      </c>
      <c r="G11" s="47">
        <v>5.51</v>
      </c>
      <c r="I11" s="4"/>
      <c r="J11" s="4"/>
      <c r="K11" s="4"/>
      <c r="L11" s="37"/>
      <c r="M11" s="37"/>
      <c r="N11" s="37"/>
    </row>
    <row r="12" spans="1:15" x14ac:dyDescent="0.3">
      <c r="A12" s="40">
        <v>2011</v>
      </c>
      <c r="B12" s="47">
        <v>21.51</v>
      </c>
      <c r="C12" s="23">
        <v>17.22</v>
      </c>
      <c r="D12" s="47">
        <v>8.51</v>
      </c>
      <c r="E12" s="47">
        <v>1.25</v>
      </c>
      <c r="F12" s="48">
        <v>10.9</v>
      </c>
      <c r="G12" s="47">
        <v>5.7</v>
      </c>
      <c r="I12" s="4"/>
      <c r="J12" s="4"/>
      <c r="K12" s="4"/>
      <c r="L12" s="37"/>
      <c r="M12" s="37"/>
      <c r="N12" s="37"/>
    </row>
    <row r="13" spans="1:15" x14ac:dyDescent="0.3">
      <c r="A13" s="40">
        <v>2012</v>
      </c>
      <c r="B13" s="47">
        <v>22.01</v>
      </c>
      <c r="C13" s="23">
        <v>17.57</v>
      </c>
      <c r="D13" s="47">
        <v>8.4</v>
      </c>
      <c r="E13" s="47">
        <v>1.24</v>
      </c>
      <c r="F13" s="48">
        <v>11.14</v>
      </c>
      <c r="G13" s="47">
        <v>5.92</v>
      </c>
      <c r="I13" s="4"/>
      <c r="J13" s="4"/>
      <c r="K13" s="4"/>
      <c r="L13" s="37"/>
      <c r="M13" s="37"/>
      <c r="N13" s="37"/>
      <c r="O13" s="37"/>
    </row>
    <row r="14" spans="1:15" x14ac:dyDescent="0.3">
      <c r="A14" s="40">
        <v>2013</v>
      </c>
      <c r="B14" s="47">
        <v>22.4</v>
      </c>
      <c r="C14" s="23">
        <v>17.829999999999998</v>
      </c>
      <c r="D14" s="47">
        <v>8.18</v>
      </c>
      <c r="E14" s="47">
        <v>1.1000000000000001</v>
      </c>
      <c r="F14" s="48">
        <v>11.33</v>
      </c>
      <c r="G14" s="47">
        <v>6.11</v>
      </c>
      <c r="I14" s="4"/>
      <c r="J14" s="4"/>
      <c r="K14" s="4"/>
      <c r="L14" s="37"/>
      <c r="M14" s="37"/>
      <c r="N14" s="37"/>
      <c r="O14" s="37"/>
    </row>
    <row r="15" spans="1:15" x14ac:dyDescent="0.3">
      <c r="A15" s="40">
        <v>2014</v>
      </c>
      <c r="B15" s="47">
        <v>22.69</v>
      </c>
      <c r="C15" s="23">
        <v>18.010000000000002</v>
      </c>
      <c r="D15" s="47">
        <v>7.87</v>
      </c>
      <c r="E15" s="47">
        <v>0.96</v>
      </c>
      <c r="F15" s="48">
        <v>11.48</v>
      </c>
      <c r="G15" s="47">
        <v>6.3</v>
      </c>
      <c r="I15" s="4"/>
      <c r="J15" s="4"/>
      <c r="K15" s="4"/>
      <c r="L15" s="37"/>
      <c r="M15" s="37"/>
      <c r="N15" s="37"/>
      <c r="O15" s="37"/>
    </row>
    <row r="16" spans="1:15" x14ac:dyDescent="0.3">
      <c r="A16" s="40">
        <v>2015</v>
      </c>
      <c r="B16" s="47">
        <v>22.95</v>
      </c>
      <c r="C16" s="23">
        <v>18.16</v>
      </c>
      <c r="D16" s="47">
        <v>7.62</v>
      </c>
      <c r="E16" s="47">
        <v>0.96</v>
      </c>
      <c r="F16" s="48">
        <v>11.64</v>
      </c>
      <c r="G16" s="47">
        <v>6.48</v>
      </c>
      <c r="I16" s="4"/>
      <c r="J16" s="4"/>
      <c r="K16" s="4"/>
      <c r="L16" s="37"/>
      <c r="M16" s="37"/>
      <c r="N16" s="37"/>
      <c r="O16" s="37"/>
    </row>
    <row r="17" spans="1:15" x14ac:dyDescent="0.3">
      <c r="A17" s="40">
        <v>2016</v>
      </c>
      <c r="B17" s="47">
        <v>23.2</v>
      </c>
      <c r="C17" s="23">
        <v>18.309999999999999</v>
      </c>
      <c r="D17" s="47">
        <v>7.45</v>
      </c>
      <c r="E17" s="47">
        <v>0.96</v>
      </c>
      <c r="F17" s="48">
        <v>11.8</v>
      </c>
      <c r="G17" s="47">
        <v>6.66</v>
      </c>
      <c r="I17" s="4"/>
      <c r="J17" s="4"/>
      <c r="K17" s="4"/>
      <c r="L17" s="37"/>
      <c r="M17" s="37"/>
      <c r="N17" s="37"/>
      <c r="O17" s="37"/>
    </row>
    <row r="18" spans="1:15" x14ac:dyDescent="0.3">
      <c r="A18" s="40">
        <v>2017</v>
      </c>
      <c r="B18" s="47">
        <v>23.4</v>
      </c>
      <c r="C18" s="23">
        <v>18.43</v>
      </c>
      <c r="D18" s="47">
        <v>7.3</v>
      </c>
      <c r="E18" s="47">
        <v>0.93</v>
      </c>
      <c r="F18" s="48">
        <v>11.94</v>
      </c>
      <c r="G18" s="47">
        <v>6.83</v>
      </c>
      <c r="I18" s="4"/>
      <c r="J18" s="4"/>
      <c r="K18" s="4"/>
      <c r="L18" s="37"/>
      <c r="M18" s="37"/>
      <c r="N18" s="37"/>
      <c r="O18" s="37"/>
    </row>
    <row r="19" spans="1:15" x14ac:dyDescent="0.3">
      <c r="A19" s="40">
        <v>2018</v>
      </c>
      <c r="B19" s="23">
        <v>23.61</v>
      </c>
      <c r="C19" s="23">
        <v>18.55</v>
      </c>
      <c r="D19" s="23">
        <v>7.23</v>
      </c>
      <c r="E19" s="23">
        <v>0.95</v>
      </c>
      <c r="F19" s="12">
        <v>12.09</v>
      </c>
      <c r="G19" s="23">
        <v>7.01</v>
      </c>
      <c r="I19" s="4"/>
      <c r="J19" s="4"/>
      <c r="K19" s="4"/>
      <c r="L19" s="37"/>
      <c r="M19" s="37"/>
      <c r="N19" s="37"/>
      <c r="O19" s="37"/>
    </row>
    <row r="20" spans="1:15" x14ac:dyDescent="0.3">
      <c r="A20" s="40">
        <v>2019</v>
      </c>
      <c r="B20" s="23">
        <v>23.75</v>
      </c>
      <c r="C20" s="23">
        <v>18.62</v>
      </c>
      <c r="D20" s="23">
        <v>7.17</v>
      </c>
      <c r="E20" s="23">
        <v>0.94</v>
      </c>
      <c r="F20" s="12">
        <v>12.22</v>
      </c>
      <c r="G20" s="23">
        <v>7.19</v>
      </c>
      <c r="I20" s="4"/>
      <c r="J20" s="4"/>
      <c r="K20" s="4"/>
      <c r="L20" s="37"/>
      <c r="M20" s="37"/>
      <c r="N20" s="37"/>
      <c r="O20" s="37"/>
    </row>
    <row r="21" spans="1:15" x14ac:dyDescent="0.3">
      <c r="A21" s="40">
        <v>2020</v>
      </c>
      <c r="B21" s="23">
        <v>23.77</v>
      </c>
      <c r="C21" s="23">
        <v>18.600000000000001</v>
      </c>
      <c r="D21" s="23">
        <v>7.07</v>
      </c>
      <c r="E21" s="23">
        <v>0.9</v>
      </c>
      <c r="F21" s="12">
        <v>12.32</v>
      </c>
      <c r="G21" s="23">
        <v>7.35</v>
      </c>
      <c r="I21" s="4"/>
      <c r="J21" s="4"/>
      <c r="K21" s="4"/>
      <c r="L21" s="37"/>
      <c r="M21" s="37"/>
      <c r="N21" s="37"/>
      <c r="O21" s="37"/>
    </row>
    <row r="22" spans="1:15" x14ac:dyDescent="0.3">
      <c r="A22" s="40">
        <v>2021</v>
      </c>
      <c r="B22" s="23">
        <v>23.77</v>
      </c>
      <c r="C22" s="23">
        <v>18.57</v>
      </c>
      <c r="D22" s="46">
        <v>6.99</v>
      </c>
      <c r="E22" s="23">
        <v>0.9</v>
      </c>
      <c r="F22" s="12">
        <v>12.44</v>
      </c>
      <c r="G22" s="23">
        <v>7.49</v>
      </c>
      <c r="O22" s="37"/>
    </row>
    <row r="23" spans="1:15" x14ac:dyDescent="0.3">
      <c r="A23" s="40">
        <v>2022</v>
      </c>
      <c r="B23" s="23">
        <v>23.71</v>
      </c>
      <c r="C23" s="23">
        <v>18.48</v>
      </c>
      <c r="D23" s="46">
        <v>6.93</v>
      </c>
      <c r="E23" s="23">
        <v>0.88</v>
      </c>
      <c r="F23" s="12">
        <v>12.54</v>
      </c>
      <c r="G23" s="23">
        <v>7.63</v>
      </c>
      <c r="O23" s="37"/>
    </row>
    <row r="24" spans="1:15" x14ac:dyDescent="0.3">
      <c r="A24" s="40">
        <v>2023</v>
      </c>
      <c r="B24" s="23">
        <v>23.6</v>
      </c>
      <c r="C24" s="23">
        <v>18.37</v>
      </c>
      <c r="D24" s="23">
        <v>6.89</v>
      </c>
      <c r="E24" s="23">
        <v>0.91</v>
      </c>
      <c r="F24" s="12">
        <v>12.65</v>
      </c>
      <c r="G24" s="23">
        <v>7.79</v>
      </c>
      <c r="O24" s="37"/>
    </row>
    <row r="25" spans="1:15" x14ac:dyDescent="0.3">
      <c r="A25" s="40">
        <v>2024</v>
      </c>
      <c r="B25" s="23">
        <v>23.49</v>
      </c>
      <c r="C25" s="23">
        <v>18.25</v>
      </c>
      <c r="D25" s="23">
        <v>6.85</v>
      </c>
      <c r="E25" s="23">
        <v>0.94</v>
      </c>
      <c r="F25" s="12">
        <v>12.78</v>
      </c>
      <c r="G25" s="23">
        <v>7.97</v>
      </c>
      <c r="O25" s="37"/>
    </row>
    <row r="26" spans="1:15" x14ac:dyDescent="0.3">
      <c r="A26" s="40">
        <v>2025</v>
      </c>
      <c r="B26" s="38">
        <v>23.38</v>
      </c>
      <c r="C26" s="38">
        <v>18.13</v>
      </c>
      <c r="D26" s="16">
        <v>6.84</v>
      </c>
      <c r="E26" s="16">
        <v>0.94</v>
      </c>
      <c r="F26" s="111">
        <v>12.92</v>
      </c>
      <c r="G26" s="38">
        <v>8.15</v>
      </c>
      <c r="O26" s="37"/>
    </row>
    <row r="27" spans="1:15" x14ac:dyDescent="0.3">
      <c r="O27" s="37"/>
    </row>
    <row r="28" spans="1:15" x14ac:dyDescent="0.3">
      <c r="O28" s="37"/>
    </row>
    <row r="29" spans="1:15" x14ac:dyDescent="0.3">
      <c r="O29" s="37"/>
    </row>
    <row r="30" spans="1:15" x14ac:dyDescent="0.3">
      <c r="O30" s="37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24"/>
  <sheetViews>
    <sheetView workbookViewId="0">
      <selection activeCell="J9" sqref="J9"/>
    </sheetView>
  </sheetViews>
  <sheetFormatPr defaultRowHeight="14.4" x14ac:dyDescent="0.3"/>
  <cols>
    <col min="2" max="2" width="11.33203125" customWidth="1"/>
    <col min="3" max="3" width="12" customWidth="1"/>
    <col min="4" max="4" width="12.109375" bestFit="1" customWidth="1"/>
    <col min="5" max="6" width="11.33203125" customWidth="1"/>
    <col min="7" max="7" width="11.44140625" bestFit="1" customWidth="1"/>
  </cols>
  <sheetData>
    <row r="1" spans="2:21" ht="28.8" x14ac:dyDescent="0.3">
      <c r="B1" s="1"/>
      <c r="C1" s="135" t="s">
        <v>117</v>
      </c>
      <c r="D1" s="135" t="s">
        <v>114</v>
      </c>
      <c r="E1" s="135" t="s">
        <v>119</v>
      </c>
      <c r="F1" s="135" t="s">
        <v>118</v>
      </c>
      <c r="G1" s="136" t="s">
        <v>9</v>
      </c>
    </row>
    <row r="2" spans="2:21" x14ac:dyDescent="0.3">
      <c r="B2" s="1" t="s">
        <v>74</v>
      </c>
      <c r="C2" s="50">
        <v>-1.53</v>
      </c>
      <c r="D2" s="50">
        <v>3.48</v>
      </c>
      <c r="E2" s="50">
        <v>1.5</v>
      </c>
      <c r="F2" s="50">
        <v>1.65</v>
      </c>
      <c r="G2" s="50">
        <v>0.94</v>
      </c>
      <c r="I2" s="4"/>
      <c r="J2" s="4"/>
      <c r="K2" s="4"/>
      <c r="L2" s="4"/>
      <c r="M2" s="4"/>
      <c r="N2" s="4"/>
    </row>
    <row r="3" spans="2:21" x14ac:dyDescent="0.3">
      <c r="B3" s="1" t="s">
        <v>75</v>
      </c>
      <c r="C3" s="50">
        <v>-1.1299999999999999</v>
      </c>
      <c r="D3" s="50">
        <v>3.34</v>
      </c>
      <c r="E3" s="50">
        <v>1.48</v>
      </c>
      <c r="F3" s="50">
        <v>1.77</v>
      </c>
      <c r="G3" s="50">
        <v>1.06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x14ac:dyDescent="0.3">
      <c r="B4" s="1" t="s">
        <v>76</v>
      </c>
      <c r="C4" s="50">
        <v>-0.59</v>
      </c>
      <c r="D4" s="50">
        <v>2.78</v>
      </c>
      <c r="E4" s="50">
        <v>1.55</v>
      </c>
      <c r="F4" s="50">
        <v>1.95</v>
      </c>
      <c r="G4" s="50">
        <v>1.18</v>
      </c>
      <c r="I4" s="4"/>
      <c r="J4" s="4"/>
      <c r="K4" s="4"/>
      <c r="L4" s="4"/>
      <c r="M4" s="4"/>
      <c r="N4" s="4"/>
    </row>
    <row r="5" spans="2:21" x14ac:dyDescent="0.3">
      <c r="B5" s="1" t="s">
        <v>77</v>
      </c>
      <c r="C5" s="50">
        <v>-0.25</v>
      </c>
      <c r="D5" s="50">
        <v>1.86</v>
      </c>
      <c r="E5" s="50">
        <v>1.84</v>
      </c>
      <c r="F5" s="50">
        <v>2.1800000000000002</v>
      </c>
      <c r="G5" s="50">
        <v>1.23</v>
      </c>
      <c r="I5" s="4"/>
      <c r="J5" s="4"/>
      <c r="K5" s="4"/>
      <c r="L5" s="4"/>
      <c r="M5" s="4"/>
      <c r="N5" s="4"/>
    </row>
    <row r="6" spans="2:21" x14ac:dyDescent="0.3">
      <c r="B6" s="1" t="s">
        <v>78</v>
      </c>
      <c r="C6" s="50">
        <v>0.04</v>
      </c>
      <c r="D6" s="50">
        <v>1.4</v>
      </c>
      <c r="E6" s="50">
        <v>1.97</v>
      </c>
      <c r="F6" s="50">
        <v>2.2599999999999998</v>
      </c>
      <c r="G6" s="50">
        <v>1.29</v>
      </c>
      <c r="I6" s="4"/>
      <c r="J6" s="4"/>
      <c r="K6" s="4"/>
      <c r="L6" s="4"/>
      <c r="M6" s="4"/>
      <c r="N6" s="4"/>
    </row>
    <row r="7" spans="2:21" x14ac:dyDescent="0.3">
      <c r="B7" s="1" t="s">
        <v>79</v>
      </c>
      <c r="C7" s="50">
        <v>0.4</v>
      </c>
      <c r="D7" s="50">
        <v>0.98</v>
      </c>
      <c r="E7" s="50">
        <v>2.15</v>
      </c>
      <c r="F7" s="50">
        <v>2.38</v>
      </c>
      <c r="G7" s="50">
        <v>1.4</v>
      </c>
      <c r="I7" s="4"/>
      <c r="J7" s="4"/>
      <c r="K7" s="4"/>
      <c r="L7" s="4"/>
      <c r="M7" s="4"/>
      <c r="N7" s="4"/>
    </row>
    <row r="8" spans="2:21" x14ac:dyDescent="0.3">
      <c r="B8" s="1" t="s">
        <v>80</v>
      </c>
      <c r="C8" s="50">
        <v>0.54</v>
      </c>
      <c r="D8" s="50">
        <v>0.56999999999999995</v>
      </c>
      <c r="E8" s="50">
        <v>2.2599999999999998</v>
      </c>
      <c r="F8" s="50">
        <v>2.5099999999999998</v>
      </c>
      <c r="G8" s="50">
        <v>1.42</v>
      </c>
      <c r="I8" s="4"/>
      <c r="J8" s="4"/>
      <c r="K8" s="4"/>
      <c r="L8" s="4"/>
      <c r="M8" s="4"/>
      <c r="N8" s="4"/>
    </row>
    <row r="9" spans="2:21" x14ac:dyDescent="0.3">
      <c r="B9" s="1" t="s">
        <v>81</v>
      </c>
      <c r="C9" s="50">
        <v>0.62</v>
      </c>
      <c r="D9" s="50">
        <v>0.15</v>
      </c>
      <c r="E9" s="50">
        <v>2.37</v>
      </c>
      <c r="F9" s="50">
        <v>2.62</v>
      </c>
      <c r="G9" s="50">
        <v>1.42</v>
      </c>
      <c r="I9" s="4"/>
      <c r="J9" s="4"/>
      <c r="K9" s="4"/>
      <c r="L9" s="4"/>
      <c r="M9" s="4"/>
      <c r="N9" s="4"/>
    </row>
    <row r="10" spans="2:21" x14ac:dyDescent="0.3">
      <c r="B10" s="1" t="s">
        <v>82</v>
      </c>
      <c r="C10" s="50">
        <v>0.89</v>
      </c>
      <c r="D10" s="50">
        <v>-0.98</v>
      </c>
      <c r="E10" s="50">
        <v>2.88</v>
      </c>
      <c r="F10" s="50">
        <v>2.76</v>
      </c>
      <c r="G10" s="50">
        <v>1.5</v>
      </c>
      <c r="I10" s="4"/>
      <c r="J10" s="4"/>
      <c r="K10" s="4"/>
      <c r="L10" s="4"/>
      <c r="M10" s="4"/>
      <c r="N10" s="4"/>
    </row>
    <row r="11" spans="2:21" x14ac:dyDescent="0.3">
      <c r="B11" s="1" t="s">
        <v>83</v>
      </c>
      <c r="C11" s="50">
        <v>1.21</v>
      </c>
      <c r="D11" s="50">
        <v>-1.33</v>
      </c>
      <c r="E11" s="50">
        <v>2.94</v>
      </c>
      <c r="F11" s="50">
        <v>3.05</v>
      </c>
      <c r="G11" s="50">
        <v>1.59</v>
      </c>
      <c r="I11" s="4"/>
      <c r="J11" s="4"/>
      <c r="K11" s="4"/>
      <c r="L11" s="4"/>
      <c r="M11" s="4"/>
      <c r="N11" s="4"/>
    </row>
    <row r="12" spans="2:21" x14ac:dyDescent="0.3">
      <c r="B12" s="1" t="s">
        <v>84</v>
      </c>
      <c r="C12" s="50">
        <v>1.29</v>
      </c>
      <c r="D12" s="50">
        <v>-1.67</v>
      </c>
      <c r="E12" s="50">
        <v>2.9</v>
      </c>
      <c r="F12" s="50">
        <v>3.03</v>
      </c>
      <c r="G12" s="50">
        <v>1.56</v>
      </c>
      <c r="I12" s="4"/>
      <c r="J12" s="4"/>
      <c r="K12" s="4"/>
      <c r="L12" s="4"/>
      <c r="M12" s="4"/>
      <c r="N12" s="4"/>
    </row>
    <row r="13" spans="2:21" x14ac:dyDescent="0.3">
      <c r="B13" s="1" t="s">
        <v>85</v>
      </c>
      <c r="C13" s="50">
        <v>1.34</v>
      </c>
      <c r="D13" s="50">
        <v>-1.62</v>
      </c>
      <c r="E13" s="50">
        <v>2.86</v>
      </c>
      <c r="F13" s="50">
        <v>3.17</v>
      </c>
      <c r="G13" s="50">
        <v>1.61</v>
      </c>
      <c r="I13" s="4"/>
      <c r="J13" s="4"/>
      <c r="K13" s="4"/>
      <c r="L13" s="4"/>
      <c r="M13" s="4"/>
      <c r="N13" s="4"/>
    </row>
    <row r="14" spans="2:21" x14ac:dyDescent="0.3">
      <c r="B14" s="1" t="s">
        <v>86</v>
      </c>
      <c r="C14" s="50">
        <v>0.95</v>
      </c>
      <c r="D14" s="50">
        <v>-1.33</v>
      </c>
      <c r="E14" s="50">
        <v>2.7</v>
      </c>
      <c r="F14" s="50">
        <v>3.17</v>
      </c>
      <c r="G14" s="50">
        <v>1.51</v>
      </c>
      <c r="I14" s="4"/>
      <c r="J14" s="4"/>
      <c r="K14" s="4"/>
      <c r="L14" s="4"/>
      <c r="M14" s="4"/>
      <c r="N14" s="4"/>
    </row>
    <row r="15" spans="2:21" x14ac:dyDescent="0.3">
      <c r="B15" s="1" t="s">
        <v>68</v>
      </c>
      <c r="C15" s="50">
        <v>0.72</v>
      </c>
      <c r="D15" s="50">
        <v>-1.42</v>
      </c>
      <c r="E15" s="50">
        <v>2.5299999999999998</v>
      </c>
      <c r="F15" s="50">
        <v>3.12</v>
      </c>
      <c r="G15" s="50">
        <v>1.37</v>
      </c>
      <c r="I15" s="4"/>
      <c r="J15" s="4"/>
      <c r="K15" s="4"/>
      <c r="L15" s="4"/>
      <c r="M15" s="4"/>
      <c r="N15" s="4"/>
    </row>
    <row r="16" spans="2:21" x14ac:dyDescent="0.3">
      <c r="B16" s="1" t="s">
        <v>87</v>
      </c>
      <c r="C16" s="50">
        <v>0.81</v>
      </c>
      <c r="D16" s="50">
        <v>-1.38</v>
      </c>
      <c r="E16" s="50">
        <v>2.41</v>
      </c>
      <c r="F16" s="50">
        <v>3.09</v>
      </c>
      <c r="G16" s="50">
        <v>1.36</v>
      </c>
      <c r="I16" s="4"/>
      <c r="J16" s="4"/>
      <c r="K16" s="4"/>
      <c r="L16" s="4"/>
      <c r="M16" s="4"/>
      <c r="N16" s="4"/>
    </row>
    <row r="17" spans="2:14" x14ac:dyDescent="0.3">
      <c r="B17" s="1" t="s">
        <v>91</v>
      </c>
      <c r="C17" s="50">
        <v>1.23</v>
      </c>
      <c r="D17" s="50">
        <v>-1.43</v>
      </c>
      <c r="E17" s="50">
        <v>2.27</v>
      </c>
      <c r="F17" s="50">
        <v>3.12</v>
      </c>
      <c r="G17" s="50">
        <v>1.44</v>
      </c>
      <c r="I17" s="4"/>
      <c r="J17" s="4"/>
      <c r="K17" s="4"/>
      <c r="L17" s="4"/>
      <c r="M17" s="4"/>
      <c r="N17" s="4"/>
    </row>
    <row r="18" spans="2:14" x14ac:dyDescent="0.3">
      <c r="B18" s="1" t="s">
        <v>100</v>
      </c>
      <c r="C18" s="50">
        <v>0.96</v>
      </c>
      <c r="D18" s="50">
        <v>-0.56000000000000005</v>
      </c>
      <c r="E18" s="50">
        <v>2.12</v>
      </c>
      <c r="F18" s="50">
        <v>3.15</v>
      </c>
      <c r="G18" s="50">
        <v>1.46</v>
      </c>
      <c r="I18" s="4"/>
      <c r="J18" s="4"/>
      <c r="K18" s="4"/>
      <c r="L18" s="4"/>
      <c r="M18" s="4"/>
      <c r="N18" s="4"/>
    </row>
    <row r="19" spans="2:14" x14ac:dyDescent="0.3">
      <c r="B19" s="1" t="s">
        <v>110</v>
      </c>
      <c r="C19" s="50">
        <v>0.65</v>
      </c>
      <c r="D19" s="50">
        <v>7.0000000000000007E-2</v>
      </c>
      <c r="E19" s="50">
        <v>1.87</v>
      </c>
      <c r="F19" s="50">
        <v>3.09</v>
      </c>
      <c r="G19" s="50">
        <v>1.36</v>
      </c>
      <c r="I19" s="4"/>
      <c r="J19" s="4"/>
      <c r="K19" s="4"/>
      <c r="L19" s="4"/>
      <c r="M19" s="4"/>
    </row>
    <row r="20" spans="2:14" x14ac:dyDescent="0.3">
      <c r="B20" s="49" t="s">
        <v>123</v>
      </c>
      <c r="C20" s="67">
        <v>0.34</v>
      </c>
      <c r="D20" s="67">
        <v>0.19</v>
      </c>
      <c r="E20" s="67">
        <v>1.28</v>
      </c>
      <c r="F20" s="67">
        <v>1.87</v>
      </c>
      <c r="G20" s="67">
        <v>0.9</v>
      </c>
    </row>
    <row r="21" spans="2:14" x14ac:dyDescent="0.3">
      <c r="B21" s="1" t="s">
        <v>132</v>
      </c>
      <c r="C21" s="50">
        <v>7.0000000000000007E-2</v>
      </c>
      <c r="D21" s="50">
        <v>1.1499999999999999</v>
      </c>
      <c r="E21" s="50">
        <v>1.25</v>
      </c>
      <c r="F21" s="50">
        <v>2.59</v>
      </c>
      <c r="G21" s="50">
        <v>1.04</v>
      </c>
    </row>
    <row r="22" spans="2:14" x14ac:dyDescent="0.3">
      <c r="B22" s="1" t="s">
        <v>135</v>
      </c>
      <c r="C22" s="73">
        <v>-0.16</v>
      </c>
      <c r="D22" s="73">
        <v>1.99</v>
      </c>
      <c r="E22" s="73">
        <v>1.25</v>
      </c>
      <c r="F22" s="73">
        <v>3.02</v>
      </c>
      <c r="G22" s="73">
        <v>1.1599999999999999</v>
      </c>
    </row>
    <row r="23" spans="2:14" x14ac:dyDescent="0.3">
      <c r="B23" s="1" t="s">
        <v>136</v>
      </c>
      <c r="C23" s="73">
        <v>-0.15</v>
      </c>
      <c r="D23" s="73">
        <v>2.06</v>
      </c>
      <c r="E23" s="73">
        <v>1.32</v>
      </c>
      <c r="F23" s="73">
        <v>2.93</v>
      </c>
      <c r="G23" s="73">
        <v>1.21</v>
      </c>
    </row>
    <row r="24" spans="2:14" x14ac:dyDescent="0.3">
      <c r="B24" s="1" t="s">
        <v>137</v>
      </c>
      <c r="C24" s="50">
        <v>-0.06</v>
      </c>
      <c r="D24" s="50">
        <v>1.88</v>
      </c>
      <c r="E24" s="50">
        <v>1.37</v>
      </c>
      <c r="F24" s="50">
        <v>2.83</v>
      </c>
      <c r="G24" s="50">
        <v>1.23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1"/>
  <sheetViews>
    <sheetView workbookViewId="0">
      <pane xSplit="1" topLeftCell="B1" activePane="topRight" state="frozen"/>
      <selection pane="topRight" activeCell="N1" sqref="N1:P1"/>
    </sheetView>
  </sheetViews>
  <sheetFormatPr defaultRowHeight="14.4" x14ac:dyDescent="0.3"/>
  <cols>
    <col min="2" max="4" width="11.33203125" bestFit="1" customWidth="1"/>
    <col min="5" max="7" width="10.33203125" bestFit="1" customWidth="1"/>
    <col min="8" max="9" width="9.44140625" bestFit="1" customWidth="1"/>
    <col min="10" max="13" width="10.33203125" bestFit="1" customWidth="1"/>
    <col min="14" max="16" width="11.33203125" bestFit="1" customWidth="1"/>
    <col min="17" max="17" width="9.88671875" bestFit="1" customWidth="1"/>
    <col min="18" max="18" width="9.6640625" bestFit="1" customWidth="1"/>
    <col min="19" max="19" width="10.33203125" bestFit="1" customWidth="1"/>
  </cols>
  <sheetData>
    <row r="1" spans="1:19" x14ac:dyDescent="0.3">
      <c r="A1" s="8"/>
      <c r="B1" s="142" t="s">
        <v>97</v>
      </c>
      <c r="C1" s="143"/>
      <c r="D1" s="144"/>
      <c r="E1" s="142" t="s">
        <v>6</v>
      </c>
      <c r="F1" s="143"/>
      <c r="G1" s="144"/>
      <c r="H1" s="142" t="s">
        <v>7</v>
      </c>
      <c r="I1" s="143"/>
      <c r="J1" s="144"/>
      <c r="K1" s="142" t="s">
        <v>8</v>
      </c>
      <c r="L1" s="143"/>
      <c r="M1" s="144"/>
      <c r="N1" s="142" t="s">
        <v>23</v>
      </c>
      <c r="O1" s="143"/>
      <c r="P1" s="144"/>
    </row>
    <row r="2" spans="1:19" x14ac:dyDescent="0.3">
      <c r="A2" s="8"/>
      <c r="B2" s="8" t="s">
        <v>21</v>
      </c>
      <c r="C2" s="8" t="s">
        <v>22</v>
      </c>
      <c r="D2" s="8" t="s">
        <v>9</v>
      </c>
      <c r="E2" s="8" t="s">
        <v>21</v>
      </c>
      <c r="F2" s="8" t="s">
        <v>22</v>
      </c>
      <c r="G2" s="8" t="s">
        <v>9</v>
      </c>
      <c r="H2" s="8" t="s">
        <v>21</v>
      </c>
      <c r="I2" s="8" t="s">
        <v>22</v>
      </c>
      <c r="J2" s="8" t="s">
        <v>9</v>
      </c>
      <c r="K2" s="8" t="s">
        <v>21</v>
      </c>
      <c r="L2" s="8" t="s">
        <v>22</v>
      </c>
      <c r="M2" s="8" t="s">
        <v>9</v>
      </c>
      <c r="N2" s="8" t="s">
        <v>21</v>
      </c>
      <c r="O2" s="8" t="s">
        <v>22</v>
      </c>
      <c r="P2" s="8" t="s">
        <v>9</v>
      </c>
    </row>
    <row r="3" spans="1:19" x14ac:dyDescent="0.3">
      <c r="A3" s="8" t="s">
        <v>24</v>
      </c>
      <c r="B3" s="13">
        <v>2451896</v>
      </c>
      <c r="C3" s="13">
        <v>2395247</v>
      </c>
      <c r="D3" s="13">
        <v>4847143</v>
      </c>
      <c r="E3" s="13">
        <v>215792</v>
      </c>
      <c r="F3" s="13">
        <v>208908</v>
      </c>
      <c r="G3" s="13">
        <v>424700</v>
      </c>
      <c r="H3" s="13">
        <v>41091</v>
      </c>
      <c r="I3" s="13">
        <v>39644</v>
      </c>
      <c r="J3" s="13">
        <v>80735</v>
      </c>
      <c r="K3" s="13">
        <v>81349</v>
      </c>
      <c r="L3" s="13">
        <v>79074</v>
      </c>
      <c r="M3" s="13">
        <v>160423</v>
      </c>
      <c r="N3" s="13">
        <v>2790128</v>
      </c>
      <c r="O3" s="13">
        <v>2722873</v>
      </c>
      <c r="P3" s="13">
        <v>5513001</v>
      </c>
      <c r="R3" s="5"/>
      <c r="S3" s="14"/>
    </row>
    <row r="4" spans="1:19" x14ac:dyDescent="0.3">
      <c r="A4" s="8" t="s">
        <v>25</v>
      </c>
      <c r="B4" s="13">
        <v>2379725</v>
      </c>
      <c r="C4" s="13">
        <v>2325352</v>
      </c>
      <c r="D4" s="13">
        <v>4705077</v>
      </c>
      <c r="E4" s="13">
        <v>206033</v>
      </c>
      <c r="F4" s="13">
        <v>199905</v>
      </c>
      <c r="G4" s="13">
        <v>405938</v>
      </c>
      <c r="H4" s="13">
        <v>46136</v>
      </c>
      <c r="I4" s="13">
        <v>44286</v>
      </c>
      <c r="J4" s="13">
        <v>90422</v>
      </c>
      <c r="K4" s="13">
        <v>98392</v>
      </c>
      <c r="L4" s="13">
        <v>95710</v>
      </c>
      <c r="M4" s="13">
        <v>194102</v>
      </c>
      <c r="N4" s="13">
        <v>2730286</v>
      </c>
      <c r="O4" s="13">
        <v>2665253</v>
      </c>
      <c r="P4" s="13">
        <v>5395539</v>
      </c>
      <c r="R4" s="5"/>
      <c r="S4" s="14"/>
    </row>
    <row r="5" spans="1:19" x14ac:dyDescent="0.3">
      <c r="A5" s="8" t="s">
        <v>26</v>
      </c>
      <c r="B5" s="13">
        <v>2438375</v>
      </c>
      <c r="C5" s="13">
        <v>2394177</v>
      </c>
      <c r="D5" s="13">
        <v>4832552</v>
      </c>
      <c r="E5" s="13">
        <v>219299</v>
      </c>
      <c r="F5" s="13">
        <v>213442</v>
      </c>
      <c r="G5" s="13">
        <v>432741</v>
      </c>
      <c r="H5" s="13">
        <v>51221</v>
      </c>
      <c r="I5" s="13">
        <v>48833</v>
      </c>
      <c r="J5" s="13">
        <v>100054</v>
      </c>
      <c r="K5" s="13">
        <v>122383</v>
      </c>
      <c r="L5" s="13">
        <v>119236</v>
      </c>
      <c r="M5" s="13">
        <v>241619</v>
      </c>
      <c r="N5" s="13">
        <v>2831278</v>
      </c>
      <c r="O5" s="13">
        <v>2775688</v>
      </c>
      <c r="P5" s="13">
        <v>5606966</v>
      </c>
      <c r="R5" s="5"/>
      <c r="S5" s="14"/>
    </row>
    <row r="6" spans="1:19" x14ac:dyDescent="0.3">
      <c r="A6" s="8" t="s">
        <v>27</v>
      </c>
      <c r="B6" s="13">
        <v>2360190</v>
      </c>
      <c r="C6" s="13">
        <v>2335785</v>
      </c>
      <c r="D6" s="13">
        <v>4695975</v>
      </c>
      <c r="E6" s="13">
        <v>227906</v>
      </c>
      <c r="F6" s="13">
        <v>222649</v>
      </c>
      <c r="G6" s="13">
        <v>450555</v>
      </c>
      <c r="H6" s="13">
        <v>49882</v>
      </c>
      <c r="I6" s="13">
        <v>47203</v>
      </c>
      <c r="J6" s="13">
        <v>97085</v>
      </c>
      <c r="K6" s="13">
        <v>129454</v>
      </c>
      <c r="L6" s="13">
        <v>127166</v>
      </c>
      <c r="M6" s="13">
        <v>256620</v>
      </c>
      <c r="N6" s="13">
        <v>2767432</v>
      </c>
      <c r="O6" s="13">
        <v>2732803</v>
      </c>
      <c r="P6" s="13">
        <v>5500235</v>
      </c>
      <c r="R6" s="5"/>
      <c r="S6" s="14"/>
    </row>
    <row r="7" spans="1:19" x14ac:dyDescent="0.3">
      <c r="A7" s="8" t="s">
        <v>28</v>
      </c>
      <c r="B7" s="13">
        <v>2037310</v>
      </c>
      <c r="C7" s="13">
        <v>2026556</v>
      </c>
      <c r="D7" s="13">
        <v>4063866</v>
      </c>
      <c r="E7" s="13">
        <v>204384</v>
      </c>
      <c r="F7" s="13">
        <v>200308</v>
      </c>
      <c r="G7" s="13">
        <v>404692</v>
      </c>
      <c r="H7" s="13">
        <v>52484</v>
      </c>
      <c r="I7" s="13">
        <v>45386</v>
      </c>
      <c r="J7" s="13">
        <v>97870</v>
      </c>
      <c r="K7" s="13">
        <v>113236</v>
      </c>
      <c r="L7" s="13">
        <v>113377</v>
      </c>
      <c r="M7" s="13">
        <v>226613</v>
      </c>
      <c r="N7" s="13">
        <v>2407414</v>
      </c>
      <c r="O7" s="13">
        <v>2385627</v>
      </c>
      <c r="P7" s="13">
        <v>4793041</v>
      </c>
      <c r="Q7" s="5"/>
    </row>
    <row r="8" spans="1:19" x14ac:dyDescent="0.3">
      <c r="A8" s="8" t="s">
        <v>29</v>
      </c>
      <c r="B8" s="13">
        <v>2106592</v>
      </c>
      <c r="C8" s="13">
        <v>2087136</v>
      </c>
      <c r="D8" s="13">
        <v>4193728</v>
      </c>
      <c r="E8" s="13">
        <v>210971</v>
      </c>
      <c r="F8" s="13">
        <v>206907</v>
      </c>
      <c r="G8" s="13">
        <v>417878</v>
      </c>
      <c r="H8" s="13">
        <v>66310</v>
      </c>
      <c r="I8" s="13">
        <v>53457</v>
      </c>
      <c r="J8" s="13">
        <v>119767</v>
      </c>
      <c r="K8" s="13">
        <v>117028</v>
      </c>
      <c r="L8" s="13">
        <v>117826</v>
      </c>
      <c r="M8" s="13">
        <v>234854</v>
      </c>
      <c r="N8" s="13">
        <v>2500901</v>
      </c>
      <c r="O8" s="13">
        <v>2465326</v>
      </c>
      <c r="P8" s="13">
        <v>4966227</v>
      </c>
    </row>
    <row r="9" spans="1:19" x14ac:dyDescent="0.3">
      <c r="A9" s="8" t="s">
        <v>30</v>
      </c>
      <c r="B9" s="13">
        <v>2336934</v>
      </c>
      <c r="C9" s="13">
        <v>2335985</v>
      </c>
      <c r="D9" s="13">
        <v>4672919</v>
      </c>
      <c r="E9" s="13">
        <v>216605</v>
      </c>
      <c r="F9" s="13">
        <v>212737</v>
      </c>
      <c r="G9" s="13">
        <v>429342</v>
      </c>
      <c r="H9" s="13">
        <v>80870</v>
      </c>
      <c r="I9" s="13">
        <v>65051</v>
      </c>
      <c r="J9" s="13">
        <v>145921</v>
      </c>
      <c r="K9" s="13">
        <v>127621</v>
      </c>
      <c r="L9" s="13">
        <v>128470</v>
      </c>
      <c r="M9" s="13">
        <v>256091</v>
      </c>
      <c r="N9" s="13">
        <v>2762030</v>
      </c>
      <c r="O9" s="13">
        <v>2742243</v>
      </c>
      <c r="P9" s="13">
        <v>5504273</v>
      </c>
    </row>
    <row r="10" spans="1:19" x14ac:dyDescent="0.3">
      <c r="A10" s="8" t="s">
        <v>31</v>
      </c>
      <c r="B10" s="13">
        <v>2393085</v>
      </c>
      <c r="C10" s="13">
        <v>2374346</v>
      </c>
      <c r="D10" s="13">
        <v>4767431</v>
      </c>
      <c r="E10" s="13">
        <v>212531</v>
      </c>
      <c r="F10" s="13">
        <v>208566</v>
      </c>
      <c r="G10" s="13">
        <v>421097</v>
      </c>
      <c r="H10" s="13">
        <v>85476</v>
      </c>
      <c r="I10" s="13">
        <v>70803</v>
      </c>
      <c r="J10" s="13">
        <v>156279</v>
      </c>
      <c r="K10" s="13">
        <v>144904</v>
      </c>
      <c r="L10" s="13">
        <v>143910</v>
      </c>
      <c r="M10" s="13">
        <v>288814</v>
      </c>
      <c r="N10" s="13">
        <v>2835996</v>
      </c>
      <c r="O10" s="13">
        <v>2797625</v>
      </c>
      <c r="P10" s="13">
        <v>5633621</v>
      </c>
    </row>
    <row r="11" spans="1:19" x14ac:dyDescent="0.3">
      <c r="A11" s="8" t="s">
        <v>32</v>
      </c>
      <c r="B11" s="13">
        <v>1910347</v>
      </c>
      <c r="C11" s="13">
        <v>1885024</v>
      </c>
      <c r="D11" s="13">
        <v>3795371</v>
      </c>
      <c r="E11" s="13">
        <v>184610</v>
      </c>
      <c r="F11" s="13">
        <v>187848</v>
      </c>
      <c r="G11" s="13">
        <v>372458</v>
      </c>
      <c r="H11" s="13">
        <v>83993</v>
      </c>
      <c r="I11" s="13">
        <v>70997</v>
      </c>
      <c r="J11" s="13">
        <v>154990</v>
      </c>
      <c r="K11" s="13">
        <v>151539</v>
      </c>
      <c r="L11" s="13">
        <v>151734</v>
      </c>
      <c r="M11" s="13">
        <v>303273</v>
      </c>
      <c r="N11" s="13">
        <v>2330489</v>
      </c>
      <c r="O11" s="13">
        <v>2295603</v>
      </c>
      <c r="P11" s="13">
        <v>4626092</v>
      </c>
    </row>
    <row r="12" spans="1:19" x14ac:dyDescent="0.3">
      <c r="A12" s="8" t="s">
        <v>33</v>
      </c>
      <c r="B12" s="13">
        <v>1397540</v>
      </c>
      <c r="C12" s="13">
        <v>1395928</v>
      </c>
      <c r="D12" s="13">
        <v>2793468</v>
      </c>
      <c r="E12" s="13">
        <v>153007</v>
      </c>
      <c r="F12" s="13">
        <v>152138</v>
      </c>
      <c r="G12" s="13">
        <v>305145</v>
      </c>
      <c r="H12" s="13">
        <v>69428</v>
      </c>
      <c r="I12" s="13">
        <v>60433</v>
      </c>
      <c r="J12" s="13">
        <v>129861</v>
      </c>
      <c r="K12" s="13">
        <v>147616</v>
      </c>
      <c r="L12" s="13">
        <v>153536</v>
      </c>
      <c r="M12" s="13">
        <v>301152</v>
      </c>
      <c r="N12" s="13">
        <v>1767591</v>
      </c>
      <c r="O12" s="13">
        <v>1762035</v>
      </c>
      <c r="P12" s="13">
        <v>3529626</v>
      </c>
    </row>
    <row r="13" spans="1:19" x14ac:dyDescent="0.3">
      <c r="A13" s="8" t="s">
        <v>34</v>
      </c>
      <c r="B13" s="13">
        <v>1073536</v>
      </c>
      <c r="C13" s="13">
        <v>1131956</v>
      </c>
      <c r="D13" s="13">
        <v>2205492</v>
      </c>
      <c r="E13" s="13">
        <v>146799</v>
      </c>
      <c r="F13" s="13">
        <v>152900</v>
      </c>
      <c r="G13" s="13">
        <v>299699</v>
      </c>
      <c r="H13" s="13">
        <v>60002</v>
      </c>
      <c r="I13" s="13">
        <v>55757</v>
      </c>
      <c r="J13" s="13">
        <v>115759</v>
      </c>
      <c r="K13" s="13">
        <v>169504</v>
      </c>
      <c r="L13" s="13">
        <v>177564</v>
      </c>
      <c r="M13" s="13">
        <v>347068</v>
      </c>
      <c r="N13" s="13">
        <v>1449841</v>
      </c>
      <c r="O13" s="13">
        <v>1518177</v>
      </c>
      <c r="P13" s="13">
        <v>2968018</v>
      </c>
    </row>
    <row r="14" spans="1:19" x14ac:dyDescent="0.3">
      <c r="A14" s="8" t="s">
        <v>35</v>
      </c>
      <c r="B14" s="13">
        <v>762443</v>
      </c>
      <c r="C14" s="13">
        <v>976786</v>
      </c>
      <c r="D14" s="13">
        <v>1739229</v>
      </c>
      <c r="E14" s="13">
        <v>132715</v>
      </c>
      <c r="F14" s="13">
        <v>156328</v>
      </c>
      <c r="G14" s="13">
        <v>289043</v>
      </c>
      <c r="H14" s="13">
        <v>49055</v>
      </c>
      <c r="I14" s="13">
        <v>50044</v>
      </c>
      <c r="J14" s="13">
        <v>99099</v>
      </c>
      <c r="K14" s="13">
        <v>160486</v>
      </c>
      <c r="L14" s="13">
        <v>171363</v>
      </c>
      <c r="M14" s="13">
        <v>331849</v>
      </c>
      <c r="N14" s="13">
        <v>1104699</v>
      </c>
      <c r="O14" s="13">
        <v>1354521</v>
      </c>
      <c r="P14" s="13">
        <v>2459220</v>
      </c>
    </row>
    <row r="15" spans="1:19" x14ac:dyDescent="0.3">
      <c r="A15" s="8" t="s">
        <v>36</v>
      </c>
      <c r="B15" s="13">
        <v>611361</v>
      </c>
      <c r="C15" s="13">
        <v>885828</v>
      </c>
      <c r="D15" s="13">
        <v>1497189</v>
      </c>
      <c r="E15" s="13">
        <v>111816</v>
      </c>
      <c r="F15" s="13">
        <v>135938</v>
      </c>
      <c r="G15" s="13">
        <v>247754</v>
      </c>
      <c r="H15" s="13">
        <v>39216</v>
      </c>
      <c r="I15" s="13">
        <v>44866</v>
      </c>
      <c r="J15" s="13">
        <v>84082</v>
      </c>
      <c r="K15" s="13">
        <v>145212</v>
      </c>
      <c r="L15" s="13">
        <v>160642</v>
      </c>
      <c r="M15" s="13">
        <v>305854</v>
      </c>
      <c r="N15" s="13">
        <v>907605</v>
      </c>
      <c r="O15" s="13">
        <v>1227274</v>
      </c>
      <c r="P15" s="13">
        <v>2134879</v>
      </c>
    </row>
    <row r="16" spans="1:19" x14ac:dyDescent="0.3">
      <c r="A16" s="8" t="s">
        <v>37</v>
      </c>
      <c r="B16" s="13">
        <v>444224</v>
      </c>
      <c r="C16" s="13">
        <v>710087</v>
      </c>
      <c r="D16" s="13">
        <v>1154311</v>
      </c>
      <c r="E16" s="13">
        <v>79043</v>
      </c>
      <c r="F16" s="13">
        <v>106043</v>
      </c>
      <c r="G16" s="13">
        <v>185086</v>
      </c>
      <c r="H16" s="13">
        <v>29296</v>
      </c>
      <c r="I16" s="13">
        <v>37234</v>
      </c>
      <c r="J16" s="13">
        <v>66530</v>
      </c>
      <c r="K16" s="13">
        <v>136942</v>
      </c>
      <c r="L16" s="13">
        <v>156028</v>
      </c>
      <c r="M16" s="13">
        <v>292970</v>
      </c>
      <c r="N16" s="13">
        <v>689505</v>
      </c>
      <c r="O16" s="13">
        <v>1009392</v>
      </c>
      <c r="P16" s="13">
        <v>1698897</v>
      </c>
    </row>
    <row r="17" spans="1:16" x14ac:dyDescent="0.3">
      <c r="A17" s="8" t="s">
        <v>38</v>
      </c>
      <c r="B17" s="13">
        <v>295348</v>
      </c>
      <c r="C17" s="13">
        <v>522267</v>
      </c>
      <c r="D17" s="13">
        <v>817615</v>
      </c>
      <c r="E17" s="13">
        <v>49055</v>
      </c>
      <c r="F17" s="13">
        <v>76518</v>
      </c>
      <c r="G17" s="13">
        <v>125573</v>
      </c>
      <c r="H17" s="13">
        <v>20832</v>
      </c>
      <c r="I17" s="13">
        <v>30106</v>
      </c>
      <c r="J17" s="13">
        <v>50938</v>
      </c>
      <c r="K17" s="13">
        <v>118147</v>
      </c>
      <c r="L17" s="13">
        <v>141125</v>
      </c>
      <c r="M17" s="13">
        <v>259272</v>
      </c>
      <c r="N17" s="13">
        <v>483382</v>
      </c>
      <c r="O17" s="13">
        <v>770016</v>
      </c>
      <c r="P17" s="13">
        <v>1253398</v>
      </c>
    </row>
    <row r="18" spans="1:16" x14ac:dyDescent="0.3">
      <c r="A18" s="8" t="s">
        <v>98</v>
      </c>
      <c r="B18" s="13">
        <v>155584</v>
      </c>
      <c r="C18" s="13">
        <v>331932</v>
      </c>
      <c r="D18" s="13">
        <v>487516</v>
      </c>
      <c r="E18" s="13">
        <v>25788</v>
      </c>
      <c r="F18" s="13">
        <v>47985</v>
      </c>
      <c r="G18" s="13">
        <v>73773</v>
      </c>
      <c r="H18" s="13">
        <v>12529</v>
      </c>
      <c r="I18" s="13">
        <v>21952</v>
      </c>
      <c r="J18" s="13">
        <v>34481</v>
      </c>
      <c r="K18" s="13">
        <v>96594</v>
      </c>
      <c r="L18" s="13">
        <v>120500</v>
      </c>
      <c r="M18" s="13">
        <v>217094</v>
      </c>
      <c r="N18" s="13">
        <v>290495</v>
      </c>
      <c r="O18" s="13">
        <v>522369</v>
      </c>
      <c r="P18" s="13">
        <v>812864</v>
      </c>
    </row>
    <row r="19" spans="1:16" x14ac:dyDescent="0.3">
      <c r="A19" s="8" t="s">
        <v>40</v>
      </c>
      <c r="B19" s="13">
        <v>87320</v>
      </c>
      <c r="C19" s="13">
        <v>248174</v>
      </c>
      <c r="D19" s="13">
        <v>335494</v>
      </c>
      <c r="E19" s="13">
        <v>16486</v>
      </c>
      <c r="F19" s="13">
        <v>42153</v>
      </c>
      <c r="G19" s="13">
        <v>58639</v>
      </c>
      <c r="H19" s="13">
        <v>8853</v>
      </c>
      <c r="I19" s="13">
        <v>22245</v>
      </c>
      <c r="J19" s="13">
        <v>31098</v>
      </c>
      <c r="K19" s="13">
        <v>110375</v>
      </c>
      <c r="L19" s="13">
        <v>169442</v>
      </c>
      <c r="M19" s="13">
        <v>279817</v>
      </c>
      <c r="N19" s="13">
        <v>223034</v>
      </c>
      <c r="O19" s="13">
        <v>482014</v>
      </c>
      <c r="P19" s="13">
        <v>705048</v>
      </c>
    </row>
    <row r="20" spans="1:16" x14ac:dyDescent="0.3">
      <c r="A20" s="6"/>
      <c r="B20" s="13">
        <v>25241810</v>
      </c>
      <c r="C20" s="13">
        <v>26362566</v>
      </c>
      <c r="D20" s="13">
        <v>51604376</v>
      </c>
      <c r="E20" s="13">
        <v>2612840</v>
      </c>
      <c r="F20" s="13">
        <v>2731273</v>
      </c>
      <c r="G20" s="13">
        <v>5344113</v>
      </c>
      <c r="H20" s="13">
        <v>846674</v>
      </c>
      <c r="I20" s="13">
        <v>808297</v>
      </c>
      <c r="J20" s="13">
        <v>1654971</v>
      </c>
      <c r="K20" s="13">
        <v>2170782</v>
      </c>
      <c r="L20" s="13">
        <v>2326703</v>
      </c>
      <c r="M20" s="13">
        <v>4497485</v>
      </c>
      <c r="N20" s="13">
        <v>30872106</v>
      </c>
      <c r="O20" s="13">
        <v>32228839</v>
      </c>
      <c r="P20" s="13">
        <v>63100945</v>
      </c>
    </row>
    <row r="21" spans="1:16" x14ac:dyDescent="0.3">
      <c r="N21" s="79"/>
      <c r="O21" s="5"/>
    </row>
    <row r="22" spans="1:16" ht="41.4" x14ac:dyDescent="0.3">
      <c r="A22" s="137" t="s">
        <v>124</v>
      </c>
      <c r="B22" s="139" t="str">
        <f t="shared" ref="B22:P22" si="0">B1</f>
        <v>Black African</v>
      </c>
      <c r="C22" s="140"/>
      <c r="D22" s="141"/>
      <c r="E22" s="139" t="str">
        <f t="shared" si="0"/>
        <v>Coloured</v>
      </c>
      <c r="F22" s="140"/>
      <c r="G22" s="141"/>
      <c r="H22" s="139" t="str">
        <f t="shared" si="0"/>
        <v>Indian/Asian</v>
      </c>
      <c r="I22" s="140"/>
      <c r="J22" s="141"/>
      <c r="K22" s="139" t="str">
        <f t="shared" si="0"/>
        <v>White</v>
      </c>
      <c r="L22" s="140"/>
      <c r="M22" s="141"/>
      <c r="N22" s="139" t="str">
        <f t="shared" si="0"/>
        <v>RSA</v>
      </c>
      <c r="O22" s="140"/>
      <c r="P22" s="141"/>
    </row>
    <row r="23" spans="1:16" x14ac:dyDescent="0.3">
      <c r="A23" s="1">
        <f t="shared" ref="A23:P23" si="1">A2</f>
        <v>0</v>
      </c>
      <c r="B23" s="1" t="str">
        <f t="shared" si="1"/>
        <v>Male</v>
      </c>
      <c r="C23" s="1" t="str">
        <f t="shared" si="1"/>
        <v>Female</v>
      </c>
      <c r="D23" s="1" t="str">
        <f t="shared" si="1"/>
        <v>Total</v>
      </c>
      <c r="E23" s="1" t="str">
        <f t="shared" si="1"/>
        <v>Male</v>
      </c>
      <c r="F23" s="1" t="str">
        <f t="shared" si="1"/>
        <v>Female</v>
      </c>
      <c r="G23" s="1" t="str">
        <f t="shared" si="1"/>
        <v>Total</v>
      </c>
      <c r="H23" s="1" t="str">
        <f t="shared" si="1"/>
        <v>Male</v>
      </c>
      <c r="I23" s="1" t="str">
        <f t="shared" si="1"/>
        <v>Female</v>
      </c>
      <c r="J23" s="1" t="str">
        <f t="shared" si="1"/>
        <v>Total</v>
      </c>
      <c r="K23" s="1" t="str">
        <f t="shared" si="1"/>
        <v>Male</v>
      </c>
      <c r="L23" s="1" t="str">
        <f t="shared" si="1"/>
        <v>Female</v>
      </c>
      <c r="M23" s="1" t="str">
        <f t="shared" si="1"/>
        <v>Total</v>
      </c>
      <c r="N23" s="1" t="str">
        <f t="shared" si="1"/>
        <v>Male</v>
      </c>
      <c r="O23" s="1" t="str">
        <f t="shared" si="1"/>
        <v>Female</v>
      </c>
      <c r="P23" s="1" t="str">
        <f t="shared" si="1"/>
        <v>Total</v>
      </c>
    </row>
    <row r="24" spans="1:16" x14ac:dyDescent="0.3">
      <c r="A24" s="1" t="str">
        <f t="shared" ref="A24" si="2">A3</f>
        <v>0-4</v>
      </c>
      <c r="B24" s="138">
        <f>ROUND(B3/1000,1)</f>
        <v>2451.9</v>
      </c>
      <c r="C24" s="138">
        <f t="shared" ref="C24:P24" si="3">ROUND(C3/1000,1)</f>
        <v>2395.1999999999998</v>
      </c>
      <c r="D24" s="138">
        <f t="shared" si="3"/>
        <v>4847.1000000000004</v>
      </c>
      <c r="E24" s="138">
        <f>ROUND(E3/1000,1)</f>
        <v>215.8</v>
      </c>
      <c r="F24" s="138">
        <f t="shared" si="3"/>
        <v>208.9</v>
      </c>
      <c r="G24" s="138">
        <f t="shared" si="3"/>
        <v>424.7</v>
      </c>
      <c r="H24" s="138">
        <f t="shared" si="3"/>
        <v>41.1</v>
      </c>
      <c r="I24" s="138">
        <f t="shared" si="3"/>
        <v>39.6</v>
      </c>
      <c r="J24" s="138">
        <f t="shared" si="3"/>
        <v>80.7</v>
      </c>
      <c r="K24" s="138">
        <f t="shared" si="3"/>
        <v>81.3</v>
      </c>
      <c r="L24" s="138">
        <f t="shared" si="3"/>
        <v>79.099999999999994</v>
      </c>
      <c r="M24" s="138">
        <f t="shared" si="3"/>
        <v>160.4</v>
      </c>
      <c r="N24" s="138">
        <f t="shared" si="3"/>
        <v>2790.1</v>
      </c>
      <c r="O24" s="138">
        <f t="shared" si="3"/>
        <v>2722.9</v>
      </c>
      <c r="P24" s="138">
        <f t="shared" si="3"/>
        <v>5513</v>
      </c>
    </row>
    <row r="25" spans="1:16" x14ac:dyDescent="0.3">
      <c r="A25" s="1" t="str">
        <f t="shared" ref="A25" si="4">A4</f>
        <v>5-9</v>
      </c>
      <c r="B25" s="138">
        <f t="shared" ref="B25:P25" si="5">ROUND(B4/1000,1)</f>
        <v>2379.6999999999998</v>
      </c>
      <c r="C25" s="138">
        <f t="shared" si="5"/>
        <v>2325.4</v>
      </c>
      <c r="D25" s="138">
        <f t="shared" si="5"/>
        <v>4705.1000000000004</v>
      </c>
      <c r="E25" s="138">
        <f t="shared" si="5"/>
        <v>206</v>
      </c>
      <c r="F25" s="138">
        <f t="shared" si="5"/>
        <v>199.9</v>
      </c>
      <c r="G25" s="138">
        <f t="shared" si="5"/>
        <v>405.9</v>
      </c>
      <c r="H25" s="138">
        <f t="shared" si="5"/>
        <v>46.1</v>
      </c>
      <c r="I25" s="138">
        <f t="shared" si="5"/>
        <v>44.3</v>
      </c>
      <c r="J25" s="138">
        <f t="shared" si="5"/>
        <v>90.4</v>
      </c>
      <c r="K25" s="138">
        <f t="shared" si="5"/>
        <v>98.4</v>
      </c>
      <c r="L25" s="138">
        <f t="shared" si="5"/>
        <v>95.7</v>
      </c>
      <c r="M25" s="138">
        <f t="shared" si="5"/>
        <v>194.1</v>
      </c>
      <c r="N25" s="138">
        <f t="shared" si="5"/>
        <v>2730.3</v>
      </c>
      <c r="O25" s="138">
        <f t="shared" si="5"/>
        <v>2665.3</v>
      </c>
      <c r="P25" s="138">
        <f t="shared" si="5"/>
        <v>5395.5</v>
      </c>
    </row>
    <row r="26" spans="1:16" x14ac:dyDescent="0.3">
      <c r="A26" s="1" t="str">
        <f t="shared" ref="A26" si="6">A5</f>
        <v>10-14</v>
      </c>
      <c r="B26" s="138">
        <f t="shared" ref="B26:P26" si="7">ROUND(B5/1000,1)</f>
        <v>2438.4</v>
      </c>
      <c r="C26" s="138">
        <f t="shared" si="7"/>
        <v>2394.1999999999998</v>
      </c>
      <c r="D26" s="138">
        <f t="shared" si="7"/>
        <v>4832.6000000000004</v>
      </c>
      <c r="E26" s="138">
        <f t="shared" si="7"/>
        <v>219.3</v>
      </c>
      <c r="F26" s="138">
        <f t="shared" si="7"/>
        <v>213.4</v>
      </c>
      <c r="G26" s="138">
        <f t="shared" si="7"/>
        <v>432.7</v>
      </c>
      <c r="H26" s="138">
        <f t="shared" si="7"/>
        <v>51.2</v>
      </c>
      <c r="I26" s="138">
        <f t="shared" si="7"/>
        <v>48.8</v>
      </c>
      <c r="J26" s="138">
        <f t="shared" si="7"/>
        <v>100.1</v>
      </c>
      <c r="K26" s="138">
        <f t="shared" si="7"/>
        <v>122.4</v>
      </c>
      <c r="L26" s="138">
        <f t="shared" si="7"/>
        <v>119.2</v>
      </c>
      <c r="M26" s="138">
        <f t="shared" si="7"/>
        <v>241.6</v>
      </c>
      <c r="N26" s="138">
        <f t="shared" si="7"/>
        <v>2831.3</v>
      </c>
      <c r="O26" s="138">
        <f t="shared" si="7"/>
        <v>2775.7</v>
      </c>
      <c r="P26" s="138">
        <f t="shared" si="7"/>
        <v>5607</v>
      </c>
    </row>
    <row r="27" spans="1:16" x14ac:dyDescent="0.3">
      <c r="A27" s="1" t="str">
        <f t="shared" ref="A27" si="8">A6</f>
        <v>15-19</v>
      </c>
      <c r="B27" s="138">
        <f t="shared" ref="B27:P27" si="9">ROUND(B6/1000,1)</f>
        <v>2360.1999999999998</v>
      </c>
      <c r="C27" s="138">
        <f t="shared" si="9"/>
        <v>2335.8000000000002</v>
      </c>
      <c r="D27" s="138">
        <f t="shared" si="9"/>
        <v>4696</v>
      </c>
      <c r="E27" s="138">
        <f t="shared" si="9"/>
        <v>227.9</v>
      </c>
      <c r="F27" s="138">
        <f t="shared" si="9"/>
        <v>222.6</v>
      </c>
      <c r="G27" s="138">
        <f t="shared" si="9"/>
        <v>450.6</v>
      </c>
      <c r="H27" s="138">
        <f t="shared" si="9"/>
        <v>49.9</v>
      </c>
      <c r="I27" s="138">
        <f t="shared" si="9"/>
        <v>47.2</v>
      </c>
      <c r="J27" s="138">
        <f t="shared" si="9"/>
        <v>97.1</v>
      </c>
      <c r="K27" s="138">
        <f t="shared" si="9"/>
        <v>129.5</v>
      </c>
      <c r="L27" s="138">
        <f t="shared" si="9"/>
        <v>127.2</v>
      </c>
      <c r="M27" s="138">
        <f t="shared" si="9"/>
        <v>256.60000000000002</v>
      </c>
      <c r="N27" s="138">
        <f t="shared" si="9"/>
        <v>2767.4</v>
      </c>
      <c r="O27" s="138">
        <f t="shared" si="9"/>
        <v>2732.8</v>
      </c>
      <c r="P27" s="138">
        <f t="shared" si="9"/>
        <v>5500.2</v>
      </c>
    </row>
    <row r="28" spans="1:16" x14ac:dyDescent="0.3">
      <c r="A28" s="1" t="str">
        <f t="shared" ref="A28" si="10">A7</f>
        <v>20-24</v>
      </c>
      <c r="B28" s="138">
        <f t="shared" ref="B28:P28" si="11">ROUND(B7/1000,1)</f>
        <v>2037.3</v>
      </c>
      <c r="C28" s="138">
        <f t="shared" si="11"/>
        <v>2026.6</v>
      </c>
      <c r="D28" s="138">
        <f t="shared" si="11"/>
        <v>4063.9</v>
      </c>
      <c r="E28" s="138">
        <f t="shared" si="11"/>
        <v>204.4</v>
      </c>
      <c r="F28" s="138">
        <f t="shared" si="11"/>
        <v>200.3</v>
      </c>
      <c r="G28" s="138">
        <f t="shared" si="11"/>
        <v>404.7</v>
      </c>
      <c r="H28" s="138">
        <f t="shared" si="11"/>
        <v>52.5</v>
      </c>
      <c r="I28" s="138">
        <f t="shared" si="11"/>
        <v>45.4</v>
      </c>
      <c r="J28" s="138">
        <f t="shared" si="11"/>
        <v>97.9</v>
      </c>
      <c r="K28" s="138">
        <f t="shared" si="11"/>
        <v>113.2</v>
      </c>
      <c r="L28" s="138">
        <f t="shared" si="11"/>
        <v>113.4</v>
      </c>
      <c r="M28" s="138">
        <f t="shared" si="11"/>
        <v>226.6</v>
      </c>
      <c r="N28" s="138">
        <f t="shared" si="11"/>
        <v>2407.4</v>
      </c>
      <c r="O28" s="138">
        <f t="shared" si="11"/>
        <v>2385.6</v>
      </c>
      <c r="P28" s="138">
        <f t="shared" si="11"/>
        <v>4793</v>
      </c>
    </row>
    <row r="29" spans="1:16" x14ac:dyDescent="0.3">
      <c r="A29" s="1" t="str">
        <f t="shared" ref="A29" si="12">A8</f>
        <v>25-29</v>
      </c>
      <c r="B29" s="138">
        <f t="shared" ref="B29:P29" si="13">ROUND(B8/1000,1)</f>
        <v>2106.6</v>
      </c>
      <c r="C29" s="138">
        <f t="shared" si="13"/>
        <v>2087.1</v>
      </c>
      <c r="D29" s="138">
        <f t="shared" si="13"/>
        <v>4193.7</v>
      </c>
      <c r="E29" s="138">
        <f t="shared" si="13"/>
        <v>211</v>
      </c>
      <c r="F29" s="138">
        <f t="shared" si="13"/>
        <v>206.9</v>
      </c>
      <c r="G29" s="138">
        <f t="shared" si="13"/>
        <v>417.9</v>
      </c>
      <c r="H29" s="138">
        <f t="shared" si="13"/>
        <v>66.3</v>
      </c>
      <c r="I29" s="138">
        <f t="shared" si="13"/>
        <v>53.5</v>
      </c>
      <c r="J29" s="138">
        <f t="shared" si="13"/>
        <v>119.8</v>
      </c>
      <c r="K29" s="138">
        <f t="shared" si="13"/>
        <v>117</v>
      </c>
      <c r="L29" s="138">
        <f t="shared" si="13"/>
        <v>117.8</v>
      </c>
      <c r="M29" s="138">
        <f t="shared" si="13"/>
        <v>234.9</v>
      </c>
      <c r="N29" s="138">
        <f t="shared" si="13"/>
        <v>2500.9</v>
      </c>
      <c r="O29" s="138">
        <f t="shared" si="13"/>
        <v>2465.3000000000002</v>
      </c>
      <c r="P29" s="138">
        <f t="shared" si="13"/>
        <v>4966.2</v>
      </c>
    </row>
    <row r="30" spans="1:16" x14ac:dyDescent="0.3">
      <c r="A30" s="1" t="str">
        <f t="shared" ref="A30" si="14">A9</f>
        <v>30-34</v>
      </c>
      <c r="B30" s="138">
        <f t="shared" ref="B30:P30" si="15">ROUND(B9/1000,1)</f>
        <v>2336.9</v>
      </c>
      <c r="C30" s="138">
        <f t="shared" si="15"/>
        <v>2336</v>
      </c>
      <c r="D30" s="138">
        <f t="shared" si="15"/>
        <v>4672.8999999999996</v>
      </c>
      <c r="E30" s="138">
        <f t="shared" si="15"/>
        <v>216.6</v>
      </c>
      <c r="F30" s="138">
        <f t="shared" si="15"/>
        <v>212.7</v>
      </c>
      <c r="G30" s="138">
        <f t="shared" si="15"/>
        <v>429.3</v>
      </c>
      <c r="H30" s="138">
        <f t="shared" si="15"/>
        <v>80.900000000000006</v>
      </c>
      <c r="I30" s="138">
        <f t="shared" si="15"/>
        <v>65.099999999999994</v>
      </c>
      <c r="J30" s="138">
        <f t="shared" si="15"/>
        <v>145.9</v>
      </c>
      <c r="K30" s="138">
        <f t="shared" si="15"/>
        <v>127.6</v>
      </c>
      <c r="L30" s="138">
        <f t="shared" si="15"/>
        <v>128.5</v>
      </c>
      <c r="M30" s="138">
        <f t="shared" si="15"/>
        <v>256.10000000000002</v>
      </c>
      <c r="N30" s="138">
        <f t="shared" si="15"/>
        <v>2762</v>
      </c>
      <c r="O30" s="138">
        <f t="shared" si="15"/>
        <v>2742.2</v>
      </c>
      <c r="P30" s="138">
        <f t="shared" si="15"/>
        <v>5504.3</v>
      </c>
    </row>
    <row r="31" spans="1:16" x14ac:dyDescent="0.3">
      <c r="A31" s="1" t="str">
        <f t="shared" ref="A31" si="16">A10</f>
        <v>35-39</v>
      </c>
      <c r="B31" s="138">
        <f t="shared" ref="B31:P31" si="17">ROUND(B10/1000,1)</f>
        <v>2393.1</v>
      </c>
      <c r="C31" s="138">
        <f t="shared" si="17"/>
        <v>2374.3000000000002</v>
      </c>
      <c r="D31" s="138">
        <f t="shared" si="17"/>
        <v>4767.3999999999996</v>
      </c>
      <c r="E31" s="138">
        <f t="shared" si="17"/>
        <v>212.5</v>
      </c>
      <c r="F31" s="138">
        <f t="shared" si="17"/>
        <v>208.6</v>
      </c>
      <c r="G31" s="138">
        <f t="shared" si="17"/>
        <v>421.1</v>
      </c>
      <c r="H31" s="138">
        <f t="shared" si="17"/>
        <v>85.5</v>
      </c>
      <c r="I31" s="138">
        <f t="shared" si="17"/>
        <v>70.8</v>
      </c>
      <c r="J31" s="138">
        <f t="shared" si="17"/>
        <v>156.30000000000001</v>
      </c>
      <c r="K31" s="138">
        <f t="shared" si="17"/>
        <v>144.9</v>
      </c>
      <c r="L31" s="138">
        <f t="shared" si="17"/>
        <v>143.9</v>
      </c>
      <c r="M31" s="138">
        <f t="shared" si="17"/>
        <v>288.8</v>
      </c>
      <c r="N31" s="138">
        <f t="shared" si="17"/>
        <v>2836</v>
      </c>
      <c r="O31" s="138">
        <f t="shared" si="17"/>
        <v>2797.6</v>
      </c>
      <c r="P31" s="138">
        <f t="shared" si="17"/>
        <v>5633.6</v>
      </c>
    </row>
    <row r="32" spans="1:16" x14ac:dyDescent="0.3">
      <c r="A32" s="1" t="str">
        <f t="shared" ref="A32" si="18">A11</f>
        <v>40-44</v>
      </c>
      <c r="B32" s="138">
        <f t="shared" ref="B32:P32" si="19">ROUND(B11/1000,1)</f>
        <v>1910.3</v>
      </c>
      <c r="C32" s="138">
        <f t="shared" si="19"/>
        <v>1885</v>
      </c>
      <c r="D32" s="138">
        <f t="shared" si="19"/>
        <v>3795.4</v>
      </c>
      <c r="E32" s="138">
        <f t="shared" si="19"/>
        <v>184.6</v>
      </c>
      <c r="F32" s="138">
        <f t="shared" si="19"/>
        <v>187.8</v>
      </c>
      <c r="G32" s="138">
        <f t="shared" si="19"/>
        <v>372.5</v>
      </c>
      <c r="H32" s="138">
        <f t="shared" si="19"/>
        <v>84</v>
      </c>
      <c r="I32" s="138">
        <f t="shared" si="19"/>
        <v>71</v>
      </c>
      <c r="J32" s="138">
        <f t="shared" si="19"/>
        <v>155</v>
      </c>
      <c r="K32" s="138">
        <f t="shared" si="19"/>
        <v>151.5</v>
      </c>
      <c r="L32" s="138">
        <f t="shared" si="19"/>
        <v>151.69999999999999</v>
      </c>
      <c r="M32" s="138">
        <f t="shared" si="19"/>
        <v>303.3</v>
      </c>
      <c r="N32" s="138">
        <f t="shared" si="19"/>
        <v>2330.5</v>
      </c>
      <c r="O32" s="138">
        <f t="shared" si="19"/>
        <v>2295.6</v>
      </c>
      <c r="P32" s="138">
        <f t="shared" si="19"/>
        <v>4626.1000000000004</v>
      </c>
    </row>
    <row r="33" spans="1:16" x14ac:dyDescent="0.3">
      <c r="A33" s="1" t="str">
        <f t="shared" ref="A33" si="20">A12</f>
        <v>45-49</v>
      </c>
      <c r="B33" s="138">
        <f t="shared" ref="B33:P33" si="21">ROUND(B12/1000,1)</f>
        <v>1397.5</v>
      </c>
      <c r="C33" s="138">
        <f t="shared" si="21"/>
        <v>1395.9</v>
      </c>
      <c r="D33" s="138">
        <f t="shared" si="21"/>
        <v>2793.5</v>
      </c>
      <c r="E33" s="138">
        <f t="shared" si="21"/>
        <v>153</v>
      </c>
      <c r="F33" s="138">
        <f t="shared" si="21"/>
        <v>152.1</v>
      </c>
      <c r="G33" s="138">
        <f t="shared" si="21"/>
        <v>305.10000000000002</v>
      </c>
      <c r="H33" s="138">
        <f t="shared" si="21"/>
        <v>69.400000000000006</v>
      </c>
      <c r="I33" s="138">
        <f t="shared" si="21"/>
        <v>60.4</v>
      </c>
      <c r="J33" s="138">
        <f t="shared" si="21"/>
        <v>129.9</v>
      </c>
      <c r="K33" s="138">
        <f t="shared" si="21"/>
        <v>147.6</v>
      </c>
      <c r="L33" s="138">
        <f t="shared" si="21"/>
        <v>153.5</v>
      </c>
      <c r="M33" s="138">
        <f t="shared" si="21"/>
        <v>301.2</v>
      </c>
      <c r="N33" s="138">
        <f t="shared" si="21"/>
        <v>1767.6</v>
      </c>
      <c r="O33" s="138">
        <f t="shared" si="21"/>
        <v>1762</v>
      </c>
      <c r="P33" s="138">
        <f t="shared" si="21"/>
        <v>3529.6</v>
      </c>
    </row>
    <row r="34" spans="1:16" x14ac:dyDescent="0.3">
      <c r="A34" s="1" t="str">
        <f t="shared" ref="A34" si="22">A13</f>
        <v>50-54</v>
      </c>
      <c r="B34" s="138">
        <f t="shared" ref="B34:P34" si="23">ROUND(B13/1000,1)</f>
        <v>1073.5</v>
      </c>
      <c r="C34" s="138">
        <f t="shared" si="23"/>
        <v>1132</v>
      </c>
      <c r="D34" s="138">
        <f t="shared" si="23"/>
        <v>2205.5</v>
      </c>
      <c r="E34" s="138">
        <f t="shared" si="23"/>
        <v>146.80000000000001</v>
      </c>
      <c r="F34" s="138">
        <f t="shared" si="23"/>
        <v>152.9</v>
      </c>
      <c r="G34" s="138">
        <f t="shared" si="23"/>
        <v>299.7</v>
      </c>
      <c r="H34" s="138">
        <f t="shared" si="23"/>
        <v>60</v>
      </c>
      <c r="I34" s="138">
        <f t="shared" si="23"/>
        <v>55.8</v>
      </c>
      <c r="J34" s="138">
        <f t="shared" si="23"/>
        <v>115.8</v>
      </c>
      <c r="K34" s="138">
        <f t="shared" si="23"/>
        <v>169.5</v>
      </c>
      <c r="L34" s="138">
        <f t="shared" si="23"/>
        <v>177.6</v>
      </c>
      <c r="M34" s="138">
        <f t="shared" si="23"/>
        <v>347.1</v>
      </c>
      <c r="N34" s="138">
        <f t="shared" si="23"/>
        <v>1449.8</v>
      </c>
      <c r="O34" s="138">
        <f t="shared" si="23"/>
        <v>1518.2</v>
      </c>
      <c r="P34" s="138">
        <f t="shared" si="23"/>
        <v>2968</v>
      </c>
    </row>
    <row r="35" spans="1:16" x14ac:dyDescent="0.3">
      <c r="A35" s="1" t="str">
        <f t="shared" ref="A35" si="24">A14</f>
        <v>55-59</v>
      </c>
      <c r="B35" s="138">
        <f t="shared" ref="B35:P35" si="25">ROUND(B14/1000,1)</f>
        <v>762.4</v>
      </c>
      <c r="C35" s="138">
        <f t="shared" si="25"/>
        <v>976.8</v>
      </c>
      <c r="D35" s="138">
        <f t="shared" si="25"/>
        <v>1739.2</v>
      </c>
      <c r="E35" s="138">
        <f t="shared" si="25"/>
        <v>132.69999999999999</v>
      </c>
      <c r="F35" s="138">
        <f t="shared" si="25"/>
        <v>156.30000000000001</v>
      </c>
      <c r="G35" s="138">
        <f t="shared" si="25"/>
        <v>289</v>
      </c>
      <c r="H35" s="138">
        <f t="shared" si="25"/>
        <v>49.1</v>
      </c>
      <c r="I35" s="138">
        <f t="shared" si="25"/>
        <v>50</v>
      </c>
      <c r="J35" s="138">
        <f t="shared" si="25"/>
        <v>99.1</v>
      </c>
      <c r="K35" s="138">
        <f t="shared" si="25"/>
        <v>160.5</v>
      </c>
      <c r="L35" s="138">
        <f t="shared" si="25"/>
        <v>171.4</v>
      </c>
      <c r="M35" s="138">
        <f t="shared" si="25"/>
        <v>331.8</v>
      </c>
      <c r="N35" s="138">
        <f t="shared" si="25"/>
        <v>1104.7</v>
      </c>
      <c r="O35" s="138">
        <f t="shared" si="25"/>
        <v>1354.5</v>
      </c>
      <c r="P35" s="138">
        <f t="shared" si="25"/>
        <v>2459.1999999999998</v>
      </c>
    </row>
    <row r="36" spans="1:16" x14ac:dyDescent="0.3">
      <c r="A36" s="1" t="str">
        <f t="shared" ref="A36" si="26">A15</f>
        <v>60-64</v>
      </c>
      <c r="B36" s="138">
        <f t="shared" ref="B36:P36" si="27">ROUND(B15/1000,1)</f>
        <v>611.4</v>
      </c>
      <c r="C36" s="138">
        <f t="shared" si="27"/>
        <v>885.8</v>
      </c>
      <c r="D36" s="138">
        <f t="shared" si="27"/>
        <v>1497.2</v>
      </c>
      <c r="E36" s="138">
        <f t="shared" si="27"/>
        <v>111.8</v>
      </c>
      <c r="F36" s="138">
        <f t="shared" si="27"/>
        <v>135.9</v>
      </c>
      <c r="G36" s="138">
        <f t="shared" si="27"/>
        <v>247.8</v>
      </c>
      <c r="H36" s="138">
        <f t="shared" si="27"/>
        <v>39.200000000000003</v>
      </c>
      <c r="I36" s="138">
        <f t="shared" si="27"/>
        <v>44.9</v>
      </c>
      <c r="J36" s="138">
        <f t="shared" si="27"/>
        <v>84.1</v>
      </c>
      <c r="K36" s="138">
        <f t="shared" si="27"/>
        <v>145.19999999999999</v>
      </c>
      <c r="L36" s="138">
        <f t="shared" si="27"/>
        <v>160.6</v>
      </c>
      <c r="M36" s="138">
        <f t="shared" si="27"/>
        <v>305.89999999999998</v>
      </c>
      <c r="N36" s="138">
        <f t="shared" si="27"/>
        <v>907.6</v>
      </c>
      <c r="O36" s="138">
        <f t="shared" si="27"/>
        <v>1227.3</v>
      </c>
      <c r="P36" s="138">
        <f t="shared" si="27"/>
        <v>2134.9</v>
      </c>
    </row>
    <row r="37" spans="1:16" x14ac:dyDescent="0.3">
      <c r="A37" s="1" t="str">
        <f t="shared" ref="A37" si="28">A16</f>
        <v>65-69</v>
      </c>
      <c r="B37" s="138">
        <f t="shared" ref="B37:P37" si="29">ROUND(B16/1000,1)</f>
        <v>444.2</v>
      </c>
      <c r="C37" s="138">
        <f t="shared" si="29"/>
        <v>710.1</v>
      </c>
      <c r="D37" s="138">
        <f t="shared" si="29"/>
        <v>1154.3</v>
      </c>
      <c r="E37" s="138">
        <f t="shared" si="29"/>
        <v>79</v>
      </c>
      <c r="F37" s="138">
        <f t="shared" si="29"/>
        <v>106</v>
      </c>
      <c r="G37" s="138">
        <f t="shared" si="29"/>
        <v>185.1</v>
      </c>
      <c r="H37" s="138">
        <f t="shared" si="29"/>
        <v>29.3</v>
      </c>
      <c r="I37" s="138">
        <f t="shared" si="29"/>
        <v>37.200000000000003</v>
      </c>
      <c r="J37" s="138">
        <f t="shared" si="29"/>
        <v>66.5</v>
      </c>
      <c r="K37" s="138">
        <f t="shared" si="29"/>
        <v>136.9</v>
      </c>
      <c r="L37" s="138">
        <f t="shared" si="29"/>
        <v>156</v>
      </c>
      <c r="M37" s="138">
        <f t="shared" si="29"/>
        <v>293</v>
      </c>
      <c r="N37" s="138">
        <f t="shared" si="29"/>
        <v>689.5</v>
      </c>
      <c r="O37" s="138">
        <f t="shared" si="29"/>
        <v>1009.4</v>
      </c>
      <c r="P37" s="138">
        <f t="shared" si="29"/>
        <v>1698.9</v>
      </c>
    </row>
    <row r="38" spans="1:16" x14ac:dyDescent="0.3">
      <c r="A38" s="1" t="str">
        <f t="shared" ref="A38" si="30">A17</f>
        <v>70-74</v>
      </c>
      <c r="B38" s="138">
        <f t="shared" ref="B38:P38" si="31">ROUND(B17/1000,1)</f>
        <v>295.3</v>
      </c>
      <c r="C38" s="138">
        <f t="shared" si="31"/>
        <v>522.29999999999995</v>
      </c>
      <c r="D38" s="138">
        <f t="shared" si="31"/>
        <v>817.6</v>
      </c>
      <c r="E38" s="138">
        <f t="shared" si="31"/>
        <v>49.1</v>
      </c>
      <c r="F38" s="138">
        <f t="shared" si="31"/>
        <v>76.5</v>
      </c>
      <c r="G38" s="138">
        <f t="shared" si="31"/>
        <v>125.6</v>
      </c>
      <c r="H38" s="138">
        <f t="shared" si="31"/>
        <v>20.8</v>
      </c>
      <c r="I38" s="138">
        <f t="shared" si="31"/>
        <v>30.1</v>
      </c>
      <c r="J38" s="138">
        <f t="shared" si="31"/>
        <v>50.9</v>
      </c>
      <c r="K38" s="138">
        <f t="shared" si="31"/>
        <v>118.1</v>
      </c>
      <c r="L38" s="138">
        <f t="shared" si="31"/>
        <v>141.1</v>
      </c>
      <c r="M38" s="138">
        <f t="shared" si="31"/>
        <v>259.3</v>
      </c>
      <c r="N38" s="138">
        <f t="shared" si="31"/>
        <v>483.4</v>
      </c>
      <c r="O38" s="138">
        <f t="shared" si="31"/>
        <v>770</v>
      </c>
      <c r="P38" s="138">
        <f t="shared" si="31"/>
        <v>1253.4000000000001</v>
      </c>
    </row>
    <row r="39" spans="1:16" x14ac:dyDescent="0.3">
      <c r="A39" s="1" t="str">
        <f t="shared" ref="A39" si="32">A18</f>
        <v>75-79</v>
      </c>
      <c r="B39" s="138">
        <f t="shared" ref="B39:P39" si="33">ROUND(B18/1000,1)</f>
        <v>155.6</v>
      </c>
      <c r="C39" s="138">
        <f t="shared" si="33"/>
        <v>331.9</v>
      </c>
      <c r="D39" s="138">
        <f t="shared" si="33"/>
        <v>487.5</v>
      </c>
      <c r="E39" s="138">
        <f t="shared" si="33"/>
        <v>25.8</v>
      </c>
      <c r="F39" s="138">
        <f t="shared" si="33"/>
        <v>48</v>
      </c>
      <c r="G39" s="138">
        <f t="shared" si="33"/>
        <v>73.8</v>
      </c>
      <c r="H39" s="138">
        <f t="shared" si="33"/>
        <v>12.5</v>
      </c>
      <c r="I39" s="138">
        <f t="shared" si="33"/>
        <v>22</v>
      </c>
      <c r="J39" s="138">
        <f t="shared" si="33"/>
        <v>34.5</v>
      </c>
      <c r="K39" s="138">
        <f t="shared" si="33"/>
        <v>96.6</v>
      </c>
      <c r="L39" s="138">
        <f t="shared" si="33"/>
        <v>120.5</v>
      </c>
      <c r="M39" s="138">
        <f t="shared" si="33"/>
        <v>217.1</v>
      </c>
      <c r="N39" s="138">
        <f t="shared" si="33"/>
        <v>290.5</v>
      </c>
      <c r="O39" s="138">
        <f t="shared" si="33"/>
        <v>522.4</v>
      </c>
      <c r="P39" s="138">
        <f t="shared" si="33"/>
        <v>812.9</v>
      </c>
    </row>
    <row r="40" spans="1:16" x14ac:dyDescent="0.3">
      <c r="A40" s="1" t="str">
        <f t="shared" ref="A40" si="34">A19</f>
        <v>80+</v>
      </c>
      <c r="B40" s="138">
        <f t="shared" ref="B40:P40" si="35">ROUND(B19/1000,1)</f>
        <v>87.3</v>
      </c>
      <c r="C40" s="138">
        <f t="shared" si="35"/>
        <v>248.2</v>
      </c>
      <c r="D40" s="138">
        <f t="shared" si="35"/>
        <v>335.5</v>
      </c>
      <c r="E40" s="138">
        <f t="shared" si="35"/>
        <v>16.5</v>
      </c>
      <c r="F40" s="138">
        <f t="shared" si="35"/>
        <v>42.2</v>
      </c>
      <c r="G40" s="138">
        <f t="shared" si="35"/>
        <v>58.6</v>
      </c>
      <c r="H40" s="138">
        <f t="shared" si="35"/>
        <v>8.9</v>
      </c>
      <c r="I40" s="138">
        <f t="shared" si="35"/>
        <v>22.2</v>
      </c>
      <c r="J40" s="138">
        <f t="shared" si="35"/>
        <v>31.1</v>
      </c>
      <c r="K40" s="138">
        <f t="shared" si="35"/>
        <v>110.4</v>
      </c>
      <c r="L40" s="138">
        <f t="shared" si="35"/>
        <v>169.4</v>
      </c>
      <c r="M40" s="138">
        <f t="shared" si="35"/>
        <v>279.8</v>
      </c>
      <c r="N40" s="138">
        <f t="shared" si="35"/>
        <v>223</v>
      </c>
      <c r="O40" s="138">
        <f t="shared" si="35"/>
        <v>482</v>
      </c>
      <c r="P40" s="138">
        <f t="shared" si="35"/>
        <v>705</v>
      </c>
    </row>
    <row r="41" spans="1:16" x14ac:dyDescent="0.3">
      <c r="A41" s="1">
        <f t="shared" ref="A41" si="36">A20</f>
        <v>0</v>
      </c>
      <c r="B41" s="138">
        <f t="shared" ref="B41:P41" si="37">(B20/1000)</f>
        <v>25241.81</v>
      </c>
      <c r="C41" s="138">
        <f t="shared" si="37"/>
        <v>26362.565999999999</v>
      </c>
      <c r="D41" s="138">
        <f t="shared" si="37"/>
        <v>51604.375999999997</v>
      </c>
      <c r="E41" s="138">
        <f t="shared" si="37"/>
        <v>2612.84</v>
      </c>
      <c r="F41" s="138">
        <f t="shared" si="37"/>
        <v>2731.2730000000001</v>
      </c>
      <c r="G41" s="138">
        <f t="shared" si="37"/>
        <v>5344.1130000000003</v>
      </c>
      <c r="H41" s="138">
        <f t="shared" si="37"/>
        <v>846.67399999999998</v>
      </c>
      <c r="I41" s="138">
        <f t="shared" si="37"/>
        <v>808.29700000000003</v>
      </c>
      <c r="J41" s="138">
        <f t="shared" si="37"/>
        <v>1654.971</v>
      </c>
      <c r="K41" s="138">
        <f t="shared" si="37"/>
        <v>2170.7820000000002</v>
      </c>
      <c r="L41" s="138">
        <f t="shared" si="37"/>
        <v>2326.703</v>
      </c>
      <c r="M41" s="138">
        <f t="shared" si="37"/>
        <v>4497.4849999999997</v>
      </c>
      <c r="N41" s="138">
        <f t="shared" si="37"/>
        <v>30872.106</v>
      </c>
      <c r="O41" s="138">
        <f t="shared" si="37"/>
        <v>32228.839</v>
      </c>
      <c r="P41" s="138">
        <f t="shared" si="37"/>
        <v>63100.945</v>
      </c>
    </row>
  </sheetData>
  <mergeCells count="10">
    <mergeCell ref="B1:D1"/>
    <mergeCell ref="E1:G1"/>
    <mergeCell ref="H1:J1"/>
    <mergeCell ref="K1:M1"/>
    <mergeCell ref="N1:P1"/>
    <mergeCell ref="B22:D22"/>
    <mergeCell ref="E22:G22"/>
    <mergeCell ref="H22:J22"/>
    <mergeCell ref="K22:M22"/>
    <mergeCell ref="N22:P22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84"/>
  <sheetViews>
    <sheetView topLeftCell="A40" workbookViewId="0">
      <selection activeCell="I62" sqref="I62"/>
    </sheetView>
  </sheetViews>
  <sheetFormatPr defaultColWidth="8.88671875" defaultRowHeight="14.4" x14ac:dyDescent="0.3"/>
  <cols>
    <col min="1" max="1" width="21.5546875" style="80" customWidth="1"/>
    <col min="2" max="11" width="9" style="80" bestFit="1" customWidth="1"/>
    <col min="12" max="12" width="9.88671875" style="80" bestFit="1" customWidth="1"/>
    <col min="13" max="13" width="9" style="80" bestFit="1" customWidth="1"/>
    <col min="14" max="14" width="8.88671875" style="80"/>
    <col min="15" max="15" width="10.109375" style="80" bestFit="1" customWidth="1"/>
    <col min="16" max="16384" width="8.88671875" style="80"/>
  </cols>
  <sheetData>
    <row r="1" spans="1:28" x14ac:dyDescent="0.3">
      <c r="A1" s="80" t="s">
        <v>88</v>
      </c>
    </row>
    <row r="2" spans="1:28" x14ac:dyDescent="0.3">
      <c r="A2" s="80" t="s">
        <v>53</v>
      </c>
      <c r="B2" s="126" t="s">
        <v>59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28" x14ac:dyDescent="0.3">
      <c r="A3" s="95"/>
      <c r="B3" s="95" t="s">
        <v>41</v>
      </c>
      <c r="C3" s="95" t="s">
        <v>42</v>
      </c>
      <c r="D3" s="95" t="s">
        <v>58</v>
      </c>
      <c r="E3" s="95" t="s">
        <v>43</v>
      </c>
      <c r="F3" s="95" t="s">
        <v>44</v>
      </c>
      <c r="G3" s="95" t="s">
        <v>45</v>
      </c>
      <c r="H3" s="95" t="s">
        <v>46</v>
      </c>
      <c r="I3" s="95" t="s">
        <v>47</v>
      </c>
      <c r="J3" s="95" t="s">
        <v>48</v>
      </c>
      <c r="K3" s="95" t="s">
        <v>56</v>
      </c>
      <c r="L3" s="95" t="s">
        <v>57</v>
      </c>
      <c r="M3" s="95" t="s">
        <v>54</v>
      </c>
    </row>
    <row r="4" spans="1:28" x14ac:dyDescent="0.3">
      <c r="A4" s="95" t="s">
        <v>41</v>
      </c>
      <c r="B4" s="145">
        <v>0</v>
      </c>
      <c r="C4" s="90">
        <v>13355</v>
      </c>
      <c r="D4" s="90">
        <v>149659</v>
      </c>
      <c r="E4" s="90">
        <v>100765</v>
      </c>
      <c r="F4" s="90">
        <v>14337</v>
      </c>
      <c r="G4" s="90">
        <v>17245</v>
      </c>
      <c r="H4" s="90">
        <v>8292</v>
      </c>
      <c r="I4" s="90">
        <v>38653</v>
      </c>
      <c r="J4" s="90">
        <v>167944</v>
      </c>
      <c r="K4" s="90">
        <v>510251</v>
      </c>
      <c r="L4" s="90">
        <v>170459</v>
      </c>
      <c r="M4" s="90">
        <v>-339791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 spans="1:28" x14ac:dyDescent="0.3">
      <c r="A5" s="95" t="s">
        <v>42</v>
      </c>
      <c r="B5" s="90">
        <v>8168</v>
      </c>
      <c r="C5" s="145">
        <v>0</v>
      </c>
      <c r="D5" s="90">
        <v>79372</v>
      </c>
      <c r="E5" s="90">
        <v>7620</v>
      </c>
      <c r="F5" s="90">
        <v>6435</v>
      </c>
      <c r="G5" s="90">
        <v>10430</v>
      </c>
      <c r="H5" s="90">
        <v>8764</v>
      </c>
      <c r="I5" s="90">
        <v>23118</v>
      </c>
      <c r="J5" s="90">
        <v>11805</v>
      </c>
      <c r="K5" s="90">
        <v>155711</v>
      </c>
      <c r="L5" s="90">
        <v>121739</v>
      </c>
      <c r="M5" s="90">
        <v>-33972</v>
      </c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</row>
    <row r="6" spans="1:28" x14ac:dyDescent="0.3">
      <c r="A6" s="95" t="s">
        <v>58</v>
      </c>
      <c r="B6" s="90">
        <v>45054</v>
      </c>
      <c r="C6" s="90">
        <v>35138</v>
      </c>
      <c r="D6" s="145">
        <v>0</v>
      </c>
      <c r="E6" s="90">
        <v>73131</v>
      </c>
      <c r="F6" s="90">
        <v>96378</v>
      </c>
      <c r="G6" s="90">
        <v>86576</v>
      </c>
      <c r="H6" s="90">
        <v>10350</v>
      </c>
      <c r="I6" s="90">
        <v>66329</v>
      </c>
      <c r="J6" s="90">
        <v>102984</v>
      </c>
      <c r="K6" s="90">
        <v>515941</v>
      </c>
      <c r="L6" s="90">
        <v>1426633</v>
      </c>
      <c r="M6" s="90">
        <v>910692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</row>
    <row r="7" spans="1:28" x14ac:dyDescent="0.3">
      <c r="A7" s="95" t="s">
        <v>43</v>
      </c>
      <c r="B7" s="90">
        <v>23809</v>
      </c>
      <c r="C7" s="90">
        <v>11520</v>
      </c>
      <c r="D7" s="90">
        <v>209240</v>
      </c>
      <c r="E7" s="145">
        <v>0</v>
      </c>
      <c r="F7" s="90">
        <v>8957</v>
      </c>
      <c r="G7" s="90">
        <v>34276</v>
      </c>
      <c r="H7" s="90">
        <v>8032</v>
      </c>
      <c r="I7" s="90">
        <v>10892</v>
      </c>
      <c r="J7" s="90">
        <v>31138</v>
      </c>
      <c r="K7" s="90">
        <v>337865</v>
      </c>
      <c r="L7" s="90">
        <v>284698</v>
      </c>
      <c r="M7" s="90">
        <v>-53167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</row>
    <row r="8" spans="1:28" x14ac:dyDescent="0.3">
      <c r="A8" s="95" t="s">
        <v>44</v>
      </c>
      <c r="B8" s="90">
        <v>4231</v>
      </c>
      <c r="C8" s="90">
        <v>5495</v>
      </c>
      <c r="D8" s="90">
        <v>327379</v>
      </c>
      <c r="E8" s="90">
        <v>7768</v>
      </c>
      <c r="F8" s="145">
        <v>0</v>
      </c>
      <c r="G8" s="90">
        <v>44891</v>
      </c>
      <c r="H8" s="90">
        <v>2445</v>
      </c>
      <c r="I8" s="90">
        <v>30595</v>
      </c>
      <c r="J8" s="90">
        <v>10729</v>
      </c>
      <c r="K8" s="90">
        <v>433534</v>
      </c>
      <c r="L8" s="90">
        <v>261997</v>
      </c>
      <c r="M8" s="90">
        <v>-171537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</row>
    <row r="9" spans="1:28" x14ac:dyDescent="0.3">
      <c r="A9" s="95" t="s">
        <v>45</v>
      </c>
      <c r="B9" s="90">
        <v>4619</v>
      </c>
      <c r="C9" s="90">
        <v>4788</v>
      </c>
      <c r="D9" s="90">
        <v>122937</v>
      </c>
      <c r="E9" s="90">
        <v>11601</v>
      </c>
      <c r="F9" s="90">
        <v>21527</v>
      </c>
      <c r="G9" s="145">
        <v>0</v>
      </c>
      <c r="H9" s="90">
        <v>2121</v>
      </c>
      <c r="I9" s="90">
        <v>12297</v>
      </c>
      <c r="J9" s="90">
        <v>8987</v>
      </c>
      <c r="K9" s="90">
        <v>188879</v>
      </c>
      <c r="L9" s="90">
        <v>273469</v>
      </c>
      <c r="M9" s="90">
        <v>84590</v>
      </c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</row>
    <row r="10" spans="1:28" x14ac:dyDescent="0.3">
      <c r="A10" s="95" t="s">
        <v>46</v>
      </c>
      <c r="B10" s="90">
        <v>4150</v>
      </c>
      <c r="C10" s="90">
        <v>8287</v>
      </c>
      <c r="D10" s="90">
        <v>15557</v>
      </c>
      <c r="E10" s="90">
        <v>5307</v>
      </c>
      <c r="F10" s="90">
        <v>2476</v>
      </c>
      <c r="G10" s="90">
        <v>4206</v>
      </c>
      <c r="H10" s="145">
        <v>0</v>
      </c>
      <c r="I10" s="90">
        <v>11885</v>
      </c>
      <c r="J10" s="90">
        <v>17051</v>
      </c>
      <c r="K10" s="90">
        <v>68919</v>
      </c>
      <c r="L10" s="90">
        <v>77201</v>
      </c>
      <c r="M10" s="90">
        <v>8282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</row>
    <row r="11" spans="1:28" x14ac:dyDescent="0.3">
      <c r="A11" s="95" t="s">
        <v>47</v>
      </c>
      <c r="B11" s="90">
        <v>4367</v>
      </c>
      <c r="C11" s="90">
        <v>9933</v>
      </c>
      <c r="D11" s="90">
        <v>77793</v>
      </c>
      <c r="E11" s="90">
        <v>5152</v>
      </c>
      <c r="F11" s="90">
        <v>16824</v>
      </c>
      <c r="G11" s="90">
        <v>10046</v>
      </c>
      <c r="H11" s="90">
        <v>19867</v>
      </c>
      <c r="I11" s="145">
        <v>0</v>
      </c>
      <c r="J11" s="90">
        <v>7669</v>
      </c>
      <c r="K11" s="90">
        <v>151651</v>
      </c>
      <c r="L11" s="90">
        <v>264657</v>
      </c>
      <c r="M11" s="90">
        <v>113006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</row>
    <row r="12" spans="1:28" x14ac:dyDescent="0.3">
      <c r="A12" s="95" t="s">
        <v>48</v>
      </c>
      <c r="B12" s="90">
        <v>44766</v>
      </c>
      <c r="C12" s="90">
        <v>6986</v>
      </c>
      <c r="D12" s="90">
        <v>54108</v>
      </c>
      <c r="E12" s="90">
        <v>11409</v>
      </c>
      <c r="F12" s="90">
        <v>5049</v>
      </c>
      <c r="G12" s="90">
        <v>6326</v>
      </c>
      <c r="H12" s="90">
        <v>11167</v>
      </c>
      <c r="I12" s="90">
        <v>7264</v>
      </c>
      <c r="J12" s="145">
        <v>0</v>
      </c>
      <c r="K12" s="90">
        <v>147075</v>
      </c>
      <c r="L12" s="90">
        <v>454083</v>
      </c>
      <c r="M12" s="90">
        <v>307009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</row>
    <row r="13" spans="1:28" x14ac:dyDescent="0.3">
      <c r="A13" s="95" t="s">
        <v>103</v>
      </c>
      <c r="B13" s="90">
        <v>31295</v>
      </c>
      <c r="C13" s="90">
        <v>26237</v>
      </c>
      <c r="D13" s="90">
        <v>390587</v>
      </c>
      <c r="E13" s="90">
        <v>61946</v>
      </c>
      <c r="F13" s="90">
        <v>90013</v>
      </c>
      <c r="G13" s="90">
        <v>59472</v>
      </c>
      <c r="H13" s="90">
        <v>6163</v>
      </c>
      <c r="I13" s="90">
        <v>63624</v>
      </c>
      <c r="J13" s="90">
        <v>95775</v>
      </c>
      <c r="K13" s="145"/>
      <c r="L13" s="145"/>
      <c r="M13" s="145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</row>
    <row r="14" spans="1:28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1"/>
      <c r="L14" s="81"/>
      <c r="M14" s="81"/>
      <c r="Q14" s="83"/>
      <c r="R14" s="83"/>
      <c r="S14" s="83"/>
      <c r="T14" s="83"/>
      <c r="U14" s="83"/>
      <c r="V14" s="83"/>
      <c r="W14" s="83"/>
      <c r="X14" s="83"/>
      <c r="Y14" s="83"/>
    </row>
    <row r="15" spans="1:28" x14ac:dyDescent="0.3">
      <c r="A15" s="80" t="s">
        <v>89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</row>
    <row r="16" spans="1:28" x14ac:dyDescent="0.3">
      <c r="A16" s="80" t="s">
        <v>59</v>
      </c>
      <c r="B16" s="127" t="s">
        <v>60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</row>
    <row r="17" spans="1:28" x14ac:dyDescent="0.3">
      <c r="A17" s="95"/>
      <c r="B17" s="145" t="s">
        <v>41</v>
      </c>
      <c r="C17" s="145" t="s">
        <v>42</v>
      </c>
      <c r="D17" s="145" t="s">
        <v>58</v>
      </c>
      <c r="E17" s="145" t="s">
        <v>43</v>
      </c>
      <c r="F17" s="145" t="s">
        <v>44</v>
      </c>
      <c r="G17" s="145" t="s">
        <v>45</v>
      </c>
      <c r="H17" s="145" t="s">
        <v>46</v>
      </c>
      <c r="I17" s="145" t="s">
        <v>47</v>
      </c>
      <c r="J17" s="145" t="s">
        <v>48</v>
      </c>
      <c r="K17" s="145" t="s">
        <v>56</v>
      </c>
      <c r="L17" s="145" t="s">
        <v>57</v>
      </c>
      <c r="M17" s="145" t="s">
        <v>54</v>
      </c>
    </row>
    <row r="18" spans="1:28" x14ac:dyDescent="0.3">
      <c r="A18" s="95" t="s">
        <v>41</v>
      </c>
      <c r="B18" s="145">
        <v>0</v>
      </c>
      <c r="C18" s="90">
        <v>14006</v>
      </c>
      <c r="D18" s="90">
        <v>136484</v>
      </c>
      <c r="E18" s="90">
        <v>104121</v>
      </c>
      <c r="F18" s="90">
        <v>14759</v>
      </c>
      <c r="G18" s="90">
        <v>17473</v>
      </c>
      <c r="H18" s="90">
        <v>8570</v>
      </c>
      <c r="I18" s="90">
        <v>30742</v>
      </c>
      <c r="J18" s="90">
        <v>168054</v>
      </c>
      <c r="K18" s="90">
        <v>494208</v>
      </c>
      <c r="L18" s="90">
        <v>187618</v>
      </c>
      <c r="M18" s="90">
        <v>-306590</v>
      </c>
      <c r="O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</row>
    <row r="19" spans="1:28" x14ac:dyDescent="0.3">
      <c r="A19" s="95" t="s">
        <v>42</v>
      </c>
      <c r="B19" s="90">
        <v>8400</v>
      </c>
      <c r="C19" s="145">
        <v>0</v>
      </c>
      <c r="D19" s="90">
        <v>74316</v>
      </c>
      <c r="E19" s="90">
        <v>7844</v>
      </c>
      <c r="F19" s="90">
        <v>6626</v>
      </c>
      <c r="G19" s="90">
        <v>10738</v>
      </c>
      <c r="H19" s="90">
        <v>9100</v>
      </c>
      <c r="I19" s="90">
        <v>23791</v>
      </c>
      <c r="J19" s="90">
        <v>12170</v>
      </c>
      <c r="K19" s="90">
        <v>152985</v>
      </c>
      <c r="L19" s="90">
        <v>140444</v>
      </c>
      <c r="M19" s="90">
        <v>-12541</v>
      </c>
      <c r="O19" s="110"/>
      <c r="Q19" s="83"/>
      <c r="S19" s="83"/>
      <c r="T19" s="83"/>
      <c r="U19" s="83"/>
      <c r="V19" s="83"/>
      <c r="W19" s="83"/>
      <c r="X19" s="83"/>
      <c r="Y19" s="83"/>
      <c r="Z19" s="83"/>
      <c r="AA19" s="83"/>
      <c r="AB19" s="83"/>
    </row>
    <row r="20" spans="1:28" x14ac:dyDescent="0.3">
      <c r="A20" s="95" t="s">
        <v>58</v>
      </c>
      <c r="B20" s="90">
        <v>45497</v>
      </c>
      <c r="C20" s="90">
        <v>40261</v>
      </c>
      <c r="D20" s="145">
        <v>0</v>
      </c>
      <c r="E20" s="90">
        <v>91058</v>
      </c>
      <c r="F20" s="90">
        <v>91790</v>
      </c>
      <c r="G20" s="90">
        <v>82500</v>
      </c>
      <c r="H20" s="90">
        <v>11116</v>
      </c>
      <c r="I20" s="90">
        <v>80331</v>
      </c>
      <c r="J20" s="90">
        <v>99659</v>
      </c>
      <c r="K20" s="90">
        <v>542213</v>
      </c>
      <c r="L20" s="90">
        <v>1530244</v>
      </c>
      <c r="M20" s="90">
        <v>988031</v>
      </c>
      <c r="O20" s="110"/>
      <c r="Q20" s="83"/>
      <c r="R20" s="83"/>
      <c r="T20" s="83"/>
      <c r="U20" s="83"/>
      <c r="V20" s="83"/>
      <c r="W20" s="83"/>
      <c r="X20" s="83"/>
      <c r="Y20" s="83"/>
      <c r="Z20" s="83"/>
      <c r="AA20" s="83"/>
      <c r="AB20" s="83"/>
    </row>
    <row r="21" spans="1:28" x14ac:dyDescent="0.3">
      <c r="A21" s="95" t="s">
        <v>43</v>
      </c>
      <c r="B21" s="90">
        <v>25885</v>
      </c>
      <c r="C21" s="90">
        <v>13016</v>
      </c>
      <c r="D21" s="90">
        <v>209802</v>
      </c>
      <c r="E21" s="145">
        <v>0</v>
      </c>
      <c r="F21" s="90">
        <v>9287</v>
      </c>
      <c r="G21" s="90">
        <v>37023</v>
      </c>
      <c r="H21" s="90">
        <v>8581</v>
      </c>
      <c r="I21" s="90">
        <v>11931</v>
      </c>
      <c r="J21" s="90">
        <v>34225</v>
      </c>
      <c r="K21" s="90">
        <v>349750</v>
      </c>
      <c r="L21" s="90">
        <v>330660</v>
      </c>
      <c r="M21" s="90">
        <v>-19090</v>
      </c>
      <c r="O21" s="110"/>
      <c r="Q21" s="83"/>
      <c r="R21" s="83"/>
      <c r="S21" s="83"/>
      <c r="U21" s="83"/>
      <c r="V21" s="83"/>
      <c r="W21" s="83"/>
      <c r="X21" s="83"/>
      <c r="Y21" s="83"/>
      <c r="Z21" s="83"/>
      <c r="AA21" s="83"/>
      <c r="AB21" s="83"/>
    </row>
    <row r="22" spans="1:28" x14ac:dyDescent="0.3">
      <c r="A22" s="95" t="s">
        <v>44</v>
      </c>
      <c r="B22" s="90">
        <v>4519</v>
      </c>
      <c r="C22" s="90">
        <v>5867</v>
      </c>
      <c r="D22" s="90">
        <v>314821</v>
      </c>
      <c r="E22" s="90">
        <v>8274</v>
      </c>
      <c r="F22" s="145">
        <v>0</v>
      </c>
      <c r="G22" s="90">
        <v>47276</v>
      </c>
      <c r="H22" s="90">
        <v>2582</v>
      </c>
      <c r="I22" s="90">
        <v>32219</v>
      </c>
      <c r="J22" s="90">
        <v>11297</v>
      </c>
      <c r="K22" s="90">
        <v>426855</v>
      </c>
      <c r="L22" s="90">
        <v>290771</v>
      </c>
      <c r="M22" s="90">
        <v>-136084</v>
      </c>
      <c r="O22" s="110"/>
      <c r="Q22" s="83"/>
      <c r="R22" s="83"/>
      <c r="S22" s="83"/>
      <c r="T22" s="83"/>
      <c r="V22" s="83"/>
      <c r="W22" s="83"/>
      <c r="X22" s="83"/>
      <c r="Y22" s="83"/>
      <c r="Z22" s="83"/>
      <c r="AA22" s="83"/>
      <c r="AB22" s="83"/>
    </row>
    <row r="23" spans="1:28" x14ac:dyDescent="0.3">
      <c r="A23" s="95" t="s">
        <v>45</v>
      </c>
      <c r="B23" s="90">
        <v>5050</v>
      </c>
      <c r="C23" s="90">
        <v>5222</v>
      </c>
      <c r="D23" s="90">
        <v>136099</v>
      </c>
      <c r="E23" s="90">
        <v>12649</v>
      </c>
      <c r="F23" s="90">
        <v>23448</v>
      </c>
      <c r="G23" s="145">
        <v>0</v>
      </c>
      <c r="H23" s="90">
        <v>2322</v>
      </c>
      <c r="I23" s="90">
        <v>13419</v>
      </c>
      <c r="J23" s="90">
        <v>9800</v>
      </c>
      <c r="K23" s="90">
        <v>208009</v>
      </c>
      <c r="L23" s="90">
        <v>295632</v>
      </c>
      <c r="M23" s="90">
        <v>87623</v>
      </c>
      <c r="O23" s="110"/>
      <c r="Q23" s="83"/>
      <c r="R23" s="83"/>
      <c r="S23" s="83"/>
      <c r="T23" s="83"/>
      <c r="U23" s="83"/>
      <c r="W23" s="83"/>
      <c r="X23" s="83"/>
      <c r="Y23" s="83"/>
      <c r="Z23" s="83"/>
      <c r="AA23" s="83"/>
      <c r="AB23" s="83"/>
    </row>
    <row r="24" spans="1:28" x14ac:dyDescent="0.3">
      <c r="A24" s="95" t="s">
        <v>46</v>
      </c>
      <c r="B24" s="90">
        <v>4421</v>
      </c>
      <c r="C24" s="90">
        <v>9083</v>
      </c>
      <c r="D24" s="90">
        <v>17202</v>
      </c>
      <c r="E24" s="90">
        <v>5798</v>
      </c>
      <c r="F24" s="90">
        <v>2679</v>
      </c>
      <c r="G24" s="90">
        <v>4592</v>
      </c>
      <c r="H24" s="145">
        <v>0</v>
      </c>
      <c r="I24" s="90">
        <v>12982</v>
      </c>
      <c r="J24" s="90">
        <v>18200</v>
      </c>
      <c r="K24" s="90">
        <v>74957</v>
      </c>
      <c r="L24" s="90">
        <v>84053</v>
      </c>
      <c r="M24" s="90">
        <v>9096</v>
      </c>
      <c r="O24" s="110"/>
      <c r="Q24" s="83"/>
      <c r="R24" s="83"/>
      <c r="S24" s="83"/>
      <c r="T24" s="83"/>
      <c r="U24" s="83"/>
      <c r="V24" s="83"/>
      <c r="X24" s="83"/>
      <c r="Y24" s="83"/>
      <c r="Z24" s="83"/>
      <c r="AA24" s="83"/>
      <c r="AB24" s="83"/>
    </row>
    <row r="25" spans="1:28" x14ac:dyDescent="0.3">
      <c r="A25" s="95" t="s">
        <v>47</v>
      </c>
      <c r="B25" s="90">
        <v>4794</v>
      </c>
      <c r="C25" s="90">
        <v>10872</v>
      </c>
      <c r="D25" s="90">
        <v>97849</v>
      </c>
      <c r="E25" s="90">
        <v>5644</v>
      </c>
      <c r="F25" s="90">
        <v>18402</v>
      </c>
      <c r="G25" s="90">
        <v>10992</v>
      </c>
      <c r="H25" s="90">
        <v>21768</v>
      </c>
      <c r="I25" s="145">
        <v>0</v>
      </c>
      <c r="J25" s="90">
        <v>8421</v>
      </c>
      <c r="K25" s="90">
        <v>178742</v>
      </c>
      <c r="L25" s="90">
        <v>293710</v>
      </c>
      <c r="M25" s="90">
        <v>114968</v>
      </c>
      <c r="O25" s="110"/>
      <c r="Q25" s="83"/>
      <c r="R25" s="83"/>
      <c r="S25" s="83"/>
      <c r="T25" s="83"/>
      <c r="U25" s="83"/>
      <c r="V25" s="83"/>
      <c r="W25" s="83"/>
      <c r="Y25" s="83"/>
      <c r="Z25" s="83"/>
      <c r="AA25" s="83"/>
      <c r="AB25" s="83"/>
    </row>
    <row r="26" spans="1:28" x14ac:dyDescent="0.3">
      <c r="A26" s="95" t="s">
        <v>48</v>
      </c>
      <c r="B26" s="90">
        <v>47945</v>
      </c>
      <c r="C26" s="90">
        <v>7578</v>
      </c>
      <c r="D26" s="90">
        <v>58566</v>
      </c>
      <c r="E26" s="90">
        <v>12262</v>
      </c>
      <c r="F26" s="90">
        <v>5423</v>
      </c>
      <c r="G26" s="90">
        <v>6827</v>
      </c>
      <c r="H26" s="90">
        <v>11968</v>
      </c>
      <c r="I26" s="90">
        <v>7870</v>
      </c>
      <c r="J26" s="145">
        <v>0</v>
      </c>
      <c r="K26" s="90">
        <v>158439</v>
      </c>
      <c r="L26" s="90">
        <v>487927</v>
      </c>
      <c r="M26" s="90">
        <v>329488</v>
      </c>
      <c r="O26" s="110"/>
      <c r="Q26" s="83"/>
      <c r="R26" s="83"/>
      <c r="S26" s="83"/>
      <c r="T26" s="83"/>
      <c r="U26" s="83"/>
      <c r="V26" s="83"/>
      <c r="W26" s="83"/>
      <c r="X26" s="83"/>
      <c r="Z26" s="83"/>
      <c r="AA26" s="83"/>
      <c r="AB26" s="83"/>
    </row>
    <row r="27" spans="1:28" x14ac:dyDescent="0.3">
      <c r="A27" s="95" t="s">
        <v>103</v>
      </c>
      <c r="B27" s="90">
        <v>41107</v>
      </c>
      <c r="C27" s="90">
        <v>34539</v>
      </c>
      <c r="D27" s="90">
        <v>485104</v>
      </c>
      <c r="E27" s="90">
        <v>83010</v>
      </c>
      <c r="F27" s="90">
        <v>118357</v>
      </c>
      <c r="G27" s="90">
        <v>78210</v>
      </c>
      <c r="H27" s="90">
        <v>8046</v>
      </c>
      <c r="I27" s="90">
        <v>80425</v>
      </c>
      <c r="J27" s="90">
        <v>126101</v>
      </c>
      <c r="K27" s="145"/>
      <c r="L27" s="145"/>
      <c r="M27" s="145"/>
      <c r="Q27" s="83"/>
      <c r="R27" s="83"/>
      <c r="S27" s="83"/>
      <c r="T27" s="83"/>
      <c r="U27" s="83"/>
      <c r="V27" s="83"/>
      <c r="W27" s="83"/>
      <c r="X27" s="83"/>
      <c r="Y27" s="83"/>
    </row>
    <row r="28" spans="1:28" x14ac:dyDescent="0.3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</row>
    <row r="29" spans="1:28" x14ac:dyDescent="0.3">
      <c r="A29" s="80" t="s">
        <v>90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</row>
    <row r="30" spans="1:28" x14ac:dyDescent="0.3">
      <c r="A30" s="80" t="s">
        <v>60</v>
      </c>
      <c r="B30" s="127" t="s">
        <v>71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</row>
    <row r="31" spans="1:28" x14ac:dyDescent="0.3">
      <c r="A31" s="95"/>
      <c r="B31" s="145" t="s">
        <v>41</v>
      </c>
      <c r="C31" s="145" t="s">
        <v>42</v>
      </c>
      <c r="D31" s="145" t="s">
        <v>58</v>
      </c>
      <c r="E31" s="145" t="s">
        <v>43</v>
      </c>
      <c r="F31" s="145" t="s">
        <v>44</v>
      </c>
      <c r="G31" s="145" t="s">
        <v>45</v>
      </c>
      <c r="H31" s="145" t="s">
        <v>46</v>
      </c>
      <c r="I31" s="145" t="s">
        <v>47</v>
      </c>
      <c r="J31" s="145" t="s">
        <v>48</v>
      </c>
      <c r="K31" s="145" t="s">
        <v>56</v>
      </c>
      <c r="L31" s="145" t="s">
        <v>57</v>
      </c>
      <c r="M31" s="145" t="s">
        <v>54</v>
      </c>
    </row>
    <row r="32" spans="1:28" x14ac:dyDescent="0.3">
      <c r="A32" s="95" t="s">
        <v>41</v>
      </c>
      <c r="B32" s="145">
        <v>0</v>
      </c>
      <c r="C32" s="90">
        <v>14207</v>
      </c>
      <c r="D32" s="90">
        <v>138562</v>
      </c>
      <c r="E32" s="90">
        <v>105807</v>
      </c>
      <c r="F32" s="90">
        <v>14967</v>
      </c>
      <c r="G32" s="90">
        <v>17721</v>
      </c>
      <c r="H32" s="90">
        <v>8682</v>
      </c>
      <c r="I32" s="90">
        <v>20700</v>
      </c>
      <c r="J32" s="90">
        <v>171202</v>
      </c>
      <c r="K32" s="90">
        <v>491848</v>
      </c>
      <c r="L32" s="90">
        <v>196301</v>
      </c>
      <c r="M32" s="90">
        <v>-295548</v>
      </c>
      <c r="O32" s="110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</row>
    <row r="33" spans="1:28" x14ac:dyDescent="0.3">
      <c r="A33" s="95" t="s">
        <v>42</v>
      </c>
      <c r="B33" s="90">
        <v>8662</v>
      </c>
      <c r="C33" s="145">
        <v>0</v>
      </c>
      <c r="D33" s="90">
        <v>76739</v>
      </c>
      <c r="E33" s="90">
        <v>9263</v>
      </c>
      <c r="F33" s="90">
        <v>6830</v>
      </c>
      <c r="G33" s="90">
        <v>11082</v>
      </c>
      <c r="H33" s="90">
        <v>9393</v>
      </c>
      <c r="I33" s="90">
        <v>20925</v>
      </c>
      <c r="J33" s="90">
        <v>13046</v>
      </c>
      <c r="K33" s="90">
        <v>155940</v>
      </c>
      <c r="L33" s="90">
        <v>145326</v>
      </c>
      <c r="M33" s="90">
        <v>-10614</v>
      </c>
      <c r="O33" s="110"/>
      <c r="Q33" s="83"/>
      <c r="S33" s="83"/>
      <c r="T33" s="83"/>
      <c r="U33" s="83"/>
      <c r="V33" s="83"/>
      <c r="W33" s="83"/>
      <c r="X33" s="83"/>
      <c r="Y33" s="83"/>
      <c r="Z33" s="83"/>
      <c r="AA33" s="83"/>
      <c r="AB33" s="83"/>
    </row>
    <row r="34" spans="1:28" x14ac:dyDescent="0.3">
      <c r="A34" s="95" t="s">
        <v>58</v>
      </c>
      <c r="B34" s="90">
        <v>52528</v>
      </c>
      <c r="C34" s="90">
        <v>44709</v>
      </c>
      <c r="D34" s="145">
        <v>0</v>
      </c>
      <c r="E34" s="90">
        <v>103007</v>
      </c>
      <c r="F34" s="90">
        <v>84479</v>
      </c>
      <c r="G34" s="90">
        <v>84672</v>
      </c>
      <c r="H34" s="90">
        <v>11605</v>
      </c>
      <c r="I34" s="90">
        <v>99596</v>
      </c>
      <c r="J34" s="90">
        <v>104471</v>
      </c>
      <c r="K34" s="90">
        <v>585066</v>
      </c>
      <c r="L34" s="90">
        <v>1445260</v>
      </c>
      <c r="M34" s="90">
        <v>860194</v>
      </c>
      <c r="O34" s="110"/>
      <c r="Q34" s="83"/>
      <c r="R34" s="83"/>
      <c r="T34" s="83"/>
      <c r="U34" s="83"/>
      <c r="V34" s="83"/>
      <c r="W34" s="83"/>
      <c r="X34" s="83"/>
      <c r="Y34" s="83"/>
      <c r="Z34" s="83"/>
      <c r="AA34" s="83"/>
      <c r="AB34" s="83"/>
    </row>
    <row r="35" spans="1:28" x14ac:dyDescent="0.3">
      <c r="A35" s="95" t="s">
        <v>43</v>
      </c>
      <c r="B35" s="90">
        <v>27357</v>
      </c>
      <c r="C35" s="90">
        <v>13775</v>
      </c>
      <c r="D35" s="90">
        <v>183386</v>
      </c>
      <c r="E35" s="145">
        <v>0</v>
      </c>
      <c r="F35" s="90">
        <v>9824</v>
      </c>
      <c r="G35" s="90">
        <v>39211</v>
      </c>
      <c r="H35" s="90">
        <v>9071</v>
      </c>
      <c r="I35" s="90">
        <v>12635</v>
      </c>
      <c r="J35" s="90">
        <v>36214</v>
      </c>
      <c r="K35" s="90">
        <v>331473</v>
      </c>
      <c r="L35" s="90">
        <v>337076</v>
      </c>
      <c r="M35" s="90">
        <v>5603</v>
      </c>
      <c r="O35" s="110"/>
      <c r="Q35" s="83"/>
      <c r="R35" s="83"/>
      <c r="S35" s="83"/>
      <c r="U35" s="83"/>
      <c r="V35" s="83"/>
      <c r="W35" s="83"/>
      <c r="X35" s="83"/>
      <c r="Y35" s="83"/>
      <c r="Z35" s="83"/>
      <c r="AA35" s="83"/>
      <c r="AB35" s="83"/>
    </row>
    <row r="36" spans="1:28" x14ac:dyDescent="0.3">
      <c r="A36" s="95" t="s">
        <v>44</v>
      </c>
      <c r="B36" s="90">
        <v>4790</v>
      </c>
      <c r="C36" s="90">
        <v>6217</v>
      </c>
      <c r="D36" s="90">
        <v>311682</v>
      </c>
      <c r="E36" s="90">
        <v>8778</v>
      </c>
      <c r="F36" s="145">
        <v>0</v>
      </c>
      <c r="G36" s="90">
        <v>50115</v>
      </c>
      <c r="H36" s="90">
        <v>2741</v>
      </c>
      <c r="I36" s="90">
        <v>34139</v>
      </c>
      <c r="J36" s="90">
        <v>12434</v>
      </c>
      <c r="K36" s="90">
        <v>430894</v>
      </c>
      <c r="L36" s="90">
        <v>272739</v>
      </c>
      <c r="M36" s="90">
        <v>-158155</v>
      </c>
      <c r="O36" s="110"/>
      <c r="Q36" s="83"/>
      <c r="R36" s="83"/>
      <c r="S36" s="83"/>
      <c r="T36" s="83"/>
      <c r="V36" s="83"/>
      <c r="W36" s="83"/>
      <c r="X36" s="83"/>
      <c r="Y36" s="83"/>
      <c r="Z36" s="83"/>
      <c r="AA36" s="83"/>
      <c r="AB36" s="83"/>
    </row>
    <row r="37" spans="1:28" x14ac:dyDescent="0.3">
      <c r="A37" s="95" t="s">
        <v>45</v>
      </c>
      <c r="B37" s="90">
        <v>5465</v>
      </c>
      <c r="C37" s="90">
        <v>5648</v>
      </c>
      <c r="D37" s="90">
        <v>126427</v>
      </c>
      <c r="E37" s="90">
        <v>13678</v>
      </c>
      <c r="F37" s="90">
        <v>25360</v>
      </c>
      <c r="G37" s="145">
        <v>0</v>
      </c>
      <c r="H37" s="90">
        <v>2517</v>
      </c>
      <c r="I37" s="90">
        <v>14526</v>
      </c>
      <c r="J37" s="90">
        <v>10597</v>
      </c>
      <c r="K37" s="90">
        <v>204219</v>
      </c>
      <c r="L37" s="90">
        <v>294411</v>
      </c>
      <c r="M37" s="90">
        <v>90192</v>
      </c>
      <c r="O37" s="110"/>
      <c r="Q37" s="83"/>
      <c r="R37" s="83"/>
      <c r="S37" s="83"/>
      <c r="T37" s="83"/>
      <c r="U37" s="83"/>
      <c r="W37" s="83"/>
      <c r="X37" s="83"/>
      <c r="Y37" s="83"/>
      <c r="Z37" s="83"/>
      <c r="AA37" s="83"/>
      <c r="AB37" s="83"/>
    </row>
    <row r="38" spans="1:28" x14ac:dyDescent="0.3">
      <c r="A38" s="95" t="s">
        <v>46</v>
      </c>
      <c r="B38" s="90">
        <v>4691</v>
      </c>
      <c r="C38" s="90">
        <v>9665</v>
      </c>
      <c r="D38" s="90">
        <v>18301</v>
      </c>
      <c r="E38" s="90">
        <v>6155</v>
      </c>
      <c r="F38" s="90">
        <v>2848</v>
      </c>
      <c r="G38" s="90">
        <v>4876</v>
      </c>
      <c r="H38" s="145">
        <v>0</v>
      </c>
      <c r="I38" s="90">
        <v>13793</v>
      </c>
      <c r="J38" s="90">
        <v>19357</v>
      </c>
      <c r="K38" s="90">
        <v>79687</v>
      </c>
      <c r="L38" s="90">
        <v>87688</v>
      </c>
      <c r="M38" s="90">
        <v>8001</v>
      </c>
      <c r="O38" s="110"/>
      <c r="Q38" s="83"/>
      <c r="R38" s="83"/>
      <c r="S38" s="83"/>
      <c r="T38" s="83"/>
      <c r="U38" s="83"/>
      <c r="V38" s="83"/>
      <c r="X38" s="83"/>
      <c r="Y38" s="83"/>
      <c r="Z38" s="83"/>
      <c r="AA38" s="83"/>
      <c r="AB38" s="83"/>
    </row>
    <row r="39" spans="1:28" x14ac:dyDescent="0.3">
      <c r="A39" s="95" t="s">
        <v>47</v>
      </c>
      <c r="B39" s="90">
        <v>5198</v>
      </c>
      <c r="C39" s="90">
        <v>13047</v>
      </c>
      <c r="D39" s="90">
        <v>93888</v>
      </c>
      <c r="E39" s="90">
        <v>5483</v>
      </c>
      <c r="F39" s="90">
        <v>20611</v>
      </c>
      <c r="G39" s="90">
        <v>11905</v>
      </c>
      <c r="H39" s="90">
        <v>23647</v>
      </c>
      <c r="I39" s="145">
        <v>0</v>
      </c>
      <c r="J39" s="90">
        <v>9137</v>
      </c>
      <c r="K39" s="90">
        <v>182918</v>
      </c>
      <c r="L39" s="90">
        <v>294256</v>
      </c>
      <c r="M39" s="90">
        <v>111338</v>
      </c>
      <c r="O39" s="110"/>
      <c r="Q39" s="83"/>
      <c r="R39" s="83"/>
      <c r="S39" s="83"/>
      <c r="T39" s="83"/>
      <c r="U39" s="83"/>
      <c r="V39" s="83"/>
      <c r="W39" s="83"/>
      <c r="Y39" s="83"/>
      <c r="Z39" s="83"/>
      <c r="AA39" s="83"/>
      <c r="AB39" s="83"/>
    </row>
    <row r="40" spans="1:28" x14ac:dyDescent="0.3">
      <c r="A40" s="95" t="s">
        <v>48</v>
      </c>
      <c r="B40" s="90">
        <v>52252</v>
      </c>
      <c r="C40" s="90">
        <v>8313</v>
      </c>
      <c r="D40" s="90">
        <v>64346</v>
      </c>
      <c r="E40" s="90">
        <v>13496</v>
      </c>
      <c r="F40" s="90">
        <v>5959</v>
      </c>
      <c r="G40" s="90">
        <v>7514</v>
      </c>
      <c r="H40" s="90">
        <v>13134</v>
      </c>
      <c r="I40" s="90">
        <v>8672</v>
      </c>
      <c r="J40" s="145">
        <v>0</v>
      </c>
      <c r="K40" s="90">
        <v>173685</v>
      </c>
      <c r="L40" s="90">
        <v>489402</v>
      </c>
      <c r="M40" s="90">
        <v>315717</v>
      </c>
      <c r="O40" s="110"/>
      <c r="Q40" s="83"/>
      <c r="R40" s="83"/>
      <c r="S40" s="83"/>
      <c r="T40" s="83"/>
      <c r="U40" s="83"/>
      <c r="V40" s="83"/>
      <c r="W40" s="83"/>
      <c r="X40" s="83"/>
      <c r="Z40" s="83"/>
      <c r="AA40" s="83"/>
      <c r="AB40" s="83"/>
    </row>
    <row r="41" spans="1:28" x14ac:dyDescent="0.3">
      <c r="A41" s="95" t="s">
        <v>103</v>
      </c>
      <c r="B41" s="90">
        <v>35358</v>
      </c>
      <c r="C41" s="90">
        <v>29745</v>
      </c>
      <c r="D41" s="90">
        <v>431929</v>
      </c>
      <c r="E41" s="90">
        <v>71409</v>
      </c>
      <c r="F41" s="90">
        <v>101861</v>
      </c>
      <c r="G41" s="90">
        <v>67315</v>
      </c>
      <c r="H41" s="90">
        <v>6898</v>
      </c>
      <c r="I41" s="90">
        <v>69269</v>
      </c>
      <c r="J41" s="90">
        <v>112943</v>
      </c>
      <c r="K41" s="145"/>
      <c r="L41" s="145"/>
      <c r="M41" s="145"/>
      <c r="Q41" s="83"/>
      <c r="R41" s="83"/>
      <c r="S41" s="83"/>
      <c r="T41" s="83"/>
      <c r="U41" s="83"/>
      <c r="V41" s="83"/>
      <c r="W41" s="83"/>
      <c r="X41" s="83"/>
      <c r="Y41" s="83"/>
    </row>
    <row r="42" spans="1:28" x14ac:dyDescent="0.3"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</row>
    <row r="44" spans="1:28" x14ac:dyDescent="0.3">
      <c r="A44" s="80" t="s">
        <v>130</v>
      </c>
    </row>
    <row r="45" spans="1:28" x14ac:dyDescent="0.3">
      <c r="A45" s="80" t="s">
        <v>71</v>
      </c>
      <c r="B45" s="126" t="s">
        <v>129</v>
      </c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</row>
    <row r="46" spans="1:28" x14ac:dyDescent="0.3">
      <c r="A46" s="95"/>
      <c r="B46" s="95" t="s">
        <v>41</v>
      </c>
      <c r="C46" s="95" t="s">
        <v>42</v>
      </c>
      <c r="D46" s="95" t="s">
        <v>58</v>
      </c>
      <c r="E46" s="95" t="s">
        <v>43</v>
      </c>
      <c r="F46" s="95" t="s">
        <v>44</v>
      </c>
      <c r="G46" s="95" t="s">
        <v>45</v>
      </c>
      <c r="H46" s="95" t="s">
        <v>46</v>
      </c>
      <c r="I46" s="95" t="s">
        <v>47</v>
      </c>
      <c r="J46" s="95" t="s">
        <v>48</v>
      </c>
      <c r="K46" s="95" t="s">
        <v>56</v>
      </c>
      <c r="L46" s="95" t="s">
        <v>57</v>
      </c>
      <c r="M46" s="95" t="s">
        <v>54</v>
      </c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</row>
    <row r="47" spans="1:28" x14ac:dyDescent="0.3">
      <c r="A47" s="95" t="s">
        <v>41</v>
      </c>
      <c r="B47" s="90">
        <v>0</v>
      </c>
      <c r="C47" s="90">
        <v>14344</v>
      </c>
      <c r="D47" s="90">
        <v>139956</v>
      </c>
      <c r="E47" s="90">
        <v>108635</v>
      </c>
      <c r="F47" s="90">
        <v>15112</v>
      </c>
      <c r="G47" s="90">
        <v>17894</v>
      </c>
      <c r="H47" s="90">
        <v>8769</v>
      </c>
      <c r="I47" s="90">
        <v>20478</v>
      </c>
      <c r="J47" s="90">
        <v>172960</v>
      </c>
      <c r="K47" s="90">
        <v>498149</v>
      </c>
      <c r="L47" s="90">
        <v>198686</v>
      </c>
      <c r="M47" s="90">
        <v>-299462</v>
      </c>
      <c r="O47" s="83"/>
      <c r="Q47" s="83"/>
      <c r="S47" s="83"/>
      <c r="T47" s="83"/>
      <c r="U47" s="83"/>
      <c r="V47" s="83"/>
      <c r="W47" s="83"/>
      <c r="X47" s="83"/>
      <c r="Y47" s="83"/>
      <c r="Z47" s="83"/>
      <c r="AA47" s="83"/>
      <c r="AB47" s="83"/>
    </row>
    <row r="48" spans="1:28" x14ac:dyDescent="0.3">
      <c r="A48" s="95" t="s">
        <v>42</v>
      </c>
      <c r="B48" s="90">
        <v>8913</v>
      </c>
      <c r="C48" s="90">
        <v>0</v>
      </c>
      <c r="D48" s="90">
        <v>79032</v>
      </c>
      <c r="E48" s="90">
        <v>9537</v>
      </c>
      <c r="F48" s="90">
        <v>7027</v>
      </c>
      <c r="G48" s="90">
        <v>11410</v>
      </c>
      <c r="H48" s="90">
        <v>9672</v>
      </c>
      <c r="I48" s="90">
        <v>21505</v>
      </c>
      <c r="J48" s="90">
        <v>13440</v>
      </c>
      <c r="K48" s="90">
        <v>160536</v>
      </c>
      <c r="L48" s="90">
        <v>147558</v>
      </c>
      <c r="M48" s="90">
        <v>-12978</v>
      </c>
      <c r="O48" s="83"/>
      <c r="Q48" s="83"/>
      <c r="R48" s="83"/>
      <c r="T48" s="83"/>
      <c r="U48" s="83"/>
      <c r="V48" s="83"/>
      <c r="W48" s="83"/>
      <c r="X48" s="83"/>
      <c r="Y48" s="83"/>
      <c r="Z48" s="83"/>
      <c r="AA48" s="83"/>
      <c r="AB48" s="83"/>
    </row>
    <row r="49" spans="1:28" x14ac:dyDescent="0.3">
      <c r="A49" s="95" t="s">
        <v>58</v>
      </c>
      <c r="B49" s="90">
        <v>52043</v>
      </c>
      <c r="C49" s="90">
        <v>45282</v>
      </c>
      <c r="D49" s="90">
        <v>0</v>
      </c>
      <c r="E49" s="90">
        <v>113922</v>
      </c>
      <c r="F49" s="90">
        <v>89760</v>
      </c>
      <c r="G49" s="90">
        <v>90334</v>
      </c>
      <c r="H49" s="90">
        <v>12298</v>
      </c>
      <c r="I49" s="90">
        <v>110166</v>
      </c>
      <c r="J49" s="90">
        <v>115496</v>
      </c>
      <c r="K49" s="90">
        <v>629301</v>
      </c>
      <c r="L49" s="90">
        <v>1416204</v>
      </c>
      <c r="M49" s="90">
        <v>786903</v>
      </c>
      <c r="O49" s="83"/>
      <c r="Q49" s="83"/>
      <c r="R49" s="83"/>
      <c r="S49" s="83"/>
      <c r="U49" s="83"/>
      <c r="V49" s="83"/>
      <c r="W49" s="83"/>
      <c r="X49" s="83"/>
      <c r="Y49" s="83"/>
      <c r="Z49" s="83"/>
      <c r="AA49" s="83"/>
      <c r="AB49" s="83"/>
    </row>
    <row r="50" spans="1:28" x14ac:dyDescent="0.3">
      <c r="A50" s="95" t="s">
        <v>43</v>
      </c>
      <c r="B50" s="90">
        <v>28864</v>
      </c>
      <c r="C50" s="90">
        <v>14531</v>
      </c>
      <c r="D50" s="90">
        <v>161388</v>
      </c>
      <c r="E50" s="90">
        <v>0</v>
      </c>
      <c r="F50" s="90">
        <v>10369</v>
      </c>
      <c r="G50" s="90">
        <v>41414</v>
      </c>
      <c r="H50" s="90">
        <v>9570</v>
      </c>
      <c r="I50" s="90">
        <v>13346</v>
      </c>
      <c r="J50" s="90">
        <v>38224</v>
      </c>
      <c r="K50" s="90">
        <v>317706</v>
      </c>
      <c r="L50" s="90">
        <v>349182</v>
      </c>
      <c r="M50" s="90">
        <v>31476</v>
      </c>
      <c r="O50" s="83"/>
      <c r="Q50" s="83"/>
      <c r="R50" s="83"/>
      <c r="S50" s="83"/>
      <c r="T50" s="83"/>
      <c r="V50" s="83"/>
      <c r="W50" s="83"/>
      <c r="X50" s="83"/>
      <c r="Y50" s="83"/>
      <c r="Z50" s="83"/>
      <c r="AA50" s="83"/>
      <c r="AB50" s="83"/>
    </row>
    <row r="51" spans="1:28" x14ac:dyDescent="0.3">
      <c r="A51" s="95" t="s">
        <v>44</v>
      </c>
      <c r="B51" s="90">
        <v>5040</v>
      </c>
      <c r="C51" s="90">
        <v>6535</v>
      </c>
      <c r="D51" s="90">
        <v>308356</v>
      </c>
      <c r="E51" s="90">
        <v>9242</v>
      </c>
      <c r="F51" s="90">
        <v>0</v>
      </c>
      <c r="G51" s="90">
        <v>52718</v>
      </c>
      <c r="H51" s="90">
        <v>2888</v>
      </c>
      <c r="I51" s="90">
        <v>35901</v>
      </c>
      <c r="J51" s="90">
        <v>13069</v>
      </c>
      <c r="K51" s="90">
        <v>433748</v>
      </c>
      <c r="L51" s="90">
        <v>276056</v>
      </c>
      <c r="M51" s="90">
        <v>-157692</v>
      </c>
      <c r="O51" s="83"/>
      <c r="Q51" s="83"/>
      <c r="R51" s="83"/>
      <c r="S51" s="83"/>
      <c r="T51" s="83"/>
      <c r="U51" s="83"/>
      <c r="W51" s="83"/>
      <c r="X51" s="83"/>
      <c r="Y51" s="83"/>
      <c r="Z51" s="83"/>
      <c r="AA51" s="83"/>
      <c r="AB51" s="83"/>
    </row>
    <row r="52" spans="1:28" x14ac:dyDescent="0.3">
      <c r="A52" s="95" t="s">
        <v>45</v>
      </c>
      <c r="B52" s="90">
        <v>5883</v>
      </c>
      <c r="C52" s="90">
        <v>6077</v>
      </c>
      <c r="D52" s="90">
        <v>136235</v>
      </c>
      <c r="E52" s="90">
        <v>14715</v>
      </c>
      <c r="F52" s="90">
        <v>27295</v>
      </c>
      <c r="G52" s="90">
        <v>0</v>
      </c>
      <c r="H52" s="90">
        <v>2711</v>
      </c>
      <c r="I52" s="90">
        <v>15639</v>
      </c>
      <c r="J52" s="90">
        <v>11403</v>
      </c>
      <c r="K52" s="90">
        <v>219958</v>
      </c>
      <c r="L52" s="90">
        <v>302450</v>
      </c>
      <c r="M52" s="90">
        <v>82492</v>
      </c>
      <c r="O52" s="83"/>
      <c r="Q52" s="83"/>
      <c r="R52" s="83"/>
      <c r="S52" s="83"/>
      <c r="T52" s="83"/>
      <c r="U52" s="83"/>
      <c r="V52" s="83"/>
      <c r="X52" s="83"/>
      <c r="Y52" s="83"/>
      <c r="Z52" s="83"/>
      <c r="AA52" s="83"/>
      <c r="AB52" s="83"/>
    </row>
    <row r="53" spans="1:28" x14ac:dyDescent="0.3">
      <c r="A53" s="95" t="s">
        <v>46</v>
      </c>
      <c r="B53" s="90">
        <v>4957</v>
      </c>
      <c r="C53" s="90">
        <v>10223</v>
      </c>
      <c r="D53" s="90">
        <v>19375</v>
      </c>
      <c r="E53" s="90">
        <v>6506</v>
      </c>
      <c r="F53" s="90">
        <v>3014</v>
      </c>
      <c r="G53" s="90">
        <v>5156</v>
      </c>
      <c r="H53" s="90">
        <v>0</v>
      </c>
      <c r="I53" s="90">
        <v>14584</v>
      </c>
      <c r="J53" s="90">
        <v>20480</v>
      </c>
      <c r="K53" s="90">
        <v>84295</v>
      </c>
      <c r="L53" s="90">
        <v>91526</v>
      </c>
      <c r="M53" s="90">
        <v>7232</v>
      </c>
      <c r="O53" s="83"/>
      <c r="Q53" s="83"/>
      <c r="R53" s="83"/>
      <c r="S53" s="83"/>
      <c r="T53" s="83"/>
      <c r="U53" s="83"/>
      <c r="V53" s="83"/>
      <c r="W53" s="83"/>
      <c r="Y53" s="83"/>
      <c r="Z53" s="83"/>
      <c r="AA53" s="83"/>
      <c r="AB53" s="83"/>
    </row>
    <row r="54" spans="1:28" x14ac:dyDescent="0.3">
      <c r="A54" s="95" t="s">
        <v>47</v>
      </c>
      <c r="B54" s="90">
        <v>5601</v>
      </c>
      <c r="C54" s="90">
        <v>14058</v>
      </c>
      <c r="D54" s="90">
        <v>101049</v>
      </c>
      <c r="E54" s="90">
        <v>5908</v>
      </c>
      <c r="F54" s="90">
        <v>22208</v>
      </c>
      <c r="G54" s="90">
        <v>12833</v>
      </c>
      <c r="H54" s="90">
        <v>25486</v>
      </c>
      <c r="I54" s="90">
        <v>0</v>
      </c>
      <c r="J54" s="90">
        <v>9846</v>
      </c>
      <c r="K54" s="90">
        <v>196988</v>
      </c>
      <c r="L54" s="90">
        <v>305410</v>
      </c>
      <c r="M54" s="90">
        <v>108422</v>
      </c>
      <c r="O54" s="83"/>
      <c r="Q54" s="83"/>
      <c r="R54" s="83"/>
      <c r="S54" s="83"/>
      <c r="T54" s="83"/>
      <c r="U54" s="83"/>
      <c r="V54" s="83"/>
      <c r="W54" s="83"/>
      <c r="X54" s="83"/>
      <c r="Z54" s="83"/>
      <c r="AA54" s="83"/>
      <c r="AB54" s="83"/>
    </row>
    <row r="55" spans="1:28" x14ac:dyDescent="0.3">
      <c r="A55" s="95" t="s">
        <v>48</v>
      </c>
      <c r="B55" s="90">
        <v>54403</v>
      </c>
      <c r="C55" s="90">
        <v>8743</v>
      </c>
      <c r="D55" s="90">
        <v>67210</v>
      </c>
      <c r="E55" s="90">
        <v>14100</v>
      </c>
      <c r="F55" s="90">
        <v>6224</v>
      </c>
      <c r="G55" s="90">
        <v>7877</v>
      </c>
      <c r="H55" s="90">
        <v>13708</v>
      </c>
      <c r="I55" s="90">
        <v>9129</v>
      </c>
      <c r="J55" s="90">
        <v>0</v>
      </c>
      <c r="K55" s="90">
        <v>181393</v>
      </c>
      <c r="L55" s="90">
        <v>500347</v>
      </c>
      <c r="M55" s="90">
        <v>318953</v>
      </c>
      <c r="O55" s="83"/>
    </row>
    <row r="56" spans="1:28" x14ac:dyDescent="0.3">
      <c r="A56" s="95" t="s">
        <v>103</v>
      </c>
      <c r="B56" s="90">
        <v>32983</v>
      </c>
      <c r="C56" s="90">
        <v>27765</v>
      </c>
      <c r="D56" s="90">
        <v>403603</v>
      </c>
      <c r="E56" s="90">
        <v>66617</v>
      </c>
      <c r="F56" s="90">
        <v>95048</v>
      </c>
      <c r="G56" s="90">
        <v>62815</v>
      </c>
      <c r="H56" s="90">
        <v>6424</v>
      </c>
      <c r="I56" s="90">
        <v>64662</v>
      </c>
      <c r="J56" s="90">
        <v>105430</v>
      </c>
      <c r="K56" s="90"/>
      <c r="L56" s="90"/>
      <c r="M56" s="90"/>
    </row>
    <row r="57" spans="1:28" x14ac:dyDescent="0.3">
      <c r="B57" s="83"/>
      <c r="C57" s="83"/>
      <c r="D57" s="83"/>
      <c r="E57" s="83"/>
      <c r="F57" s="83"/>
      <c r="G57" s="83"/>
      <c r="H57" s="83"/>
      <c r="I57" s="83"/>
      <c r="J57" s="83"/>
    </row>
    <row r="59" spans="1:28" x14ac:dyDescent="0.3"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</row>
    <row r="61" spans="1:28" x14ac:dyDescent="0.3"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</row>
    <row r="62" spans="1:28" x14ac:dyDescent="0.3"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</row>
    <row r="63" spans="1:28" x14ac:dyDescent="0.3"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</row>
    <row r="64" spans="1:28" x14ac:dyDescent="0.3"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</row>
    <row r="65" spans="2:13" x14ac:dyDescent="0.3"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</row>
    <row r="66" spans="2:13" x14ac:dyDescent="0.3"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</row>
    <row r="67" spans="2:13" x14ac:dyDescent="0.3"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</row>
    <row r="68" spans="2:13" x14ac:dyDescent="0.3"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</row>
    <row r="69" spans="2:13" x14ac:dyDescent="0.3"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</row>
    <row r="70" spans="2:13" x14ac:dyDescent="0.3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</row>
    <row r="73" spans="2:13" x14ac:dyDescent="0.3"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</row>
    <row r="75" spans="2:13" x14ac:dyDescent="0.3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</row>
    <row r="76" spans="2:13" x14ac:dyDescent="0.3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</row>
    <row r="77" spans="2:13" x14ac:dyDescent="0.3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</row>
    <row r="78" spans="2:13" x14ac:dyDescent="0.3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</row>
    <row r="79" spans="2:13" x14ac:dyDescent="0.3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</row>
    <row r="80" spans="2:13" x14ac:dyDescent="0.3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</row>
    <row r="81" spans="2:13" x14ac:dyDescent="0.3"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</row>
    <row r="82" spans="2:13" x14ac:dyDescent="0.3"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</row>
    <row r="83" spans="2:13" x14ac:dyDescent="0.3"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</row>
    <row r="84" spans="2:13" x14ac:dyDescent="0.3"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</row>
  </sheetData>
  <mergeCells count="9">
    <mergeCell ref="B73:M73"/>
    <mergeCell ref="B30:M30"/>
    <mergeCell ref="B16:M16"/>
    <mergeCell ref="B2:M2"/>
    <mergeCell ref="Q2:AB2"/>
    <mergeCell ref="Q16:AB16"/>
    <mergeCell ref="Q30:AB30"/>
    <mergeCell ref="B45:M45"/>
    <mergeCell ref="B59:M59"/>
  </mergeCells>
  <pageMargins left="0.7" right="0.7" top="0.75" bottom="0.75" header="0.3" footer="0.3"/>
  <pageSetup paperSize="9" scale="81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Y36"/>
  <sheetViews>
    <sheetView workbookViewId="0">
      <selection activeCell="A3" sqref="A3:Y13"/>
    </sheetView>
  </sheetViews>
  <sheetFormatPr defaultColWidth="8.88671875" defaultRowHeight="14.4" x14ac:dyDescent="0.3"/>
  <cols>
    <col min="1" max="1" width="13.33203125" style="80" bestFit="1" customWidth="1"/>
    <col min="2" max="16384" width="8.88671875" style="80"/>
  </cols>
  <sheetData>
    <row r="3" spans="1:25" x14ac:dyDescent="0.3">
      <c r="A3" s="95"/>
      <c r="B3" s="93">
        <v>2002</v>
      </c>
      <c r="C3" s="93">
        <v>2003</v>
      </c>
      <c r="D3" s="93">
        <v>2004</v>
      </c>
      <c r="E3" s="93">
        <v>2005</v>
      </c>
      <c r="F3" s="93">
        <v>2006</v>
      </c>
      <c r="G3" s="93">
        <v>2007</v>
      </c>
      <c r="H3" s="93">
        <v>2008</v>
      </c>
      <c r="I3" s="93">
        <v>2009</v>
      </c>
      <c r="J3" s="93">
        <v>2010</v>
      </c>
      <c r="K3" s="93">
        <v>2011</v>
      </c>
      <c r="L3" s="93">
        <v>2012</v>
      </c>
      <c r="M3" s="93">
        <v>2013</v>
      </c>
      <c r="N3" s="93">
        <v>2014</v>
      </c>
      <c r="O3" s="93">
        <v>2015</v>
      </c>
      <c r="P3" s="93">
        <v>2016</v>
      </c>
      <c r="Q3" s="93">
        <v>2017</v>
      </c>
      <c r="R3" s="93">
        <v>2018</v>
      </c>
      <c r="S3" s="93">
        <v>2019</v>
      </c>
      <c r="T3" s="93">
        <v>2020</v>
      </c>
      <c r="U3" s="93">
        <v>2021</v>
      </c>
      <c r="V3" s="93">
        <v>2022</v>
      </c>
      <c r="W3" s="93">
        <v>2023</v>
      </c>
      <c r="X3" s="93">
        <v>2024</v>
      </c>
      <c r="Y3" s="93">
        <v>2025</v>
      </c>
    </row>
    <row r="4" spans="1:25" x14ac:dyDescent="0.3">
      <c r="A4" s="95" t="s">
        <v>69</v>
      </c>
      <c r="B4" s="94">
        <v>14.73</v>
      </c>
      <c r="C4" s="94">
        <v>14.56</v>
      </c>
      <c r="D4" s="94">
        <v>14.39</v>
      </c>
      <c r="E4" s="94">
        <v>14.23</v>
      </c>
      <c r="F4" s="94">
        <v>14.07</v>
      </c>
      <c r="G4" s="94">
        <v>13.9</v>
      </c>
      <c r="H4" s="94">
        <v>13.72</v>
      </c>
      <c r="I4" s="94">
        <v>13.54</v>
      </c>
      <c r="J4" s="94">
        <v>13.36</v>
      </c>
      <c r="K4" s="94">
        <v>13.17</v>
      </c>
      <c r="L4" s="94">
        <v>13</v>
      </c>
      <c r="M4" s="94">
        <v>12.85</v>
      </c>
      <c r="N4" s="94">
        <v>12.69</v>
      </c>
      <c r="O4" s="94">
        <v>12.54</v>
      </c>
      <c r="P4" s="94">
        <v>12.39</v>
      </c>
      <c r="Q4" s="94">
        <v>12.26</v>
      </c>
      <c r="R4" s="146">
        <v>12.12</v>
      </c>
      <c r="S4" s="94">
        <v>11.99</v>
      </c>
      <c r="T4" s="94">
        <v>11.85</v>
      </c>
      <c r="U4" s="94">
        <v>11.73</v>
      </c>
      <c r="V4" s="94">
        <v>11.6</v>
      </c>
      <c r="W4" s="94">
        <v>11.48</v>
      </c>
      <c r="X4" s="94">
        <v>11.36</v>
      </c>
      <c r="Y4" s="94">
        <v>11.24</v>
      </c>
    </row>
    <row r="5" spans="1:25" x14ac:dyDescent="0.3">
      <c r="A5" s="95" t="s">
        <v>10</v>
      </c>
      <c r="B5" s="94">
        <v>5.91</v>
      </c>
      <c r="C5" s="94">
        <v>5.84</v>
      </c>
      <c r="D5" s="94">
        <v>5.77</v>
      </c>
      <c r="E5" s="94">
        <v>5.71</v>
      </c>
      <c r="F5" s="94">
        <v>5.64</v>
      </c>
      <c r="G5" s="94">
        <v>5.59</v>
      </c>
      <c r="H5" s="94">
        <v>5.53</v>
      </c>
      <c r="I5" s="94">
        <v>5.47</v>
      </c>
      <c r="J5" s="94">
        <v>5.41</v>
      </c>
      <c r="K5" s="94">
        <v>5.35</v>
      </c>
      <c r="L5" s="94">
        <v>5.31</v>
      </c>
      <c r="M5" s="94">
        <v>5.26</v>
      </c>
      <c r="N5" s="94">
        <v>5.22</v>
      </c>
      <c r="O5" s="94">
        <v>5.17</v>
      </c>
      <c r="P5" s="94">
        <v>5.13</v>
      </c>
      <c r="Q5" s="94">
        <v>5.09</v>
      </c>
      <c r="R5" s="146">
        <v>5.05</v>
      </c>
      <c r="S5" s="94">
        <v>5.01</v>
      </c>
      <c r="T5" s="94">
        <v>4.9800000000000004</v>
      </c>
      <c r="U5" s="94">
        <v>4.9400000000000004</v>
      </c>
      <c r="V5" s="94">
        <v>4.91</v>
      </c>
      <c r="W5" s="94">
        <v>4.88</v>
      </c>
      <c r="X5" s="94">
        <v>4.8499999999999996</v>
      </c>
      <c r="Y5" s="94">
        <v>4.82</v>
      </c>
    </row>
    <row r="6" spans="1:25" x14ac:dyDescent="0.3">
      <c r="A6" s="95" t="s">
        <v>11</v>
      </c>
      <c r="B6" s="94">
        <v>19.97</v>
      </c>
      <c r="C6" s="94">
        <v>20.3</v>
      </c>
      <c r="D6" s="94">
        <v>20.63</v>
      </c>
      <c r="E6" s="94">
        <v>20.96</v>
      </c>
      <c r="F6" s="94">
        <v>21.29</v>
      </c>
      <c r="G6" s="94">
        <v>21.58</v>
      </c>
      <c r="H6" s="94">
        <v>21.87</v>
      </c>
      <c r="I6" s="94">
        <v>22.17</v>
      </c>
      <c r="J6" s="94">
        <v>22.47</v>
      </c>
      <c r="K6" s="94">
        <v>22.78</v>
      </c>
      <c r="L6" s="94">
        <v>23.03</v>
      </c>
      <c r="M6" s="94">
        <v>23.28</v>
      </c>
      <c r="N6" s="94">
        <v>23.52</v>
      </c>
      <c r="O6" s="94">
        <v>23.76</v>
      </c>
      <c r="P6" s="94">
        <v>24</v>
      </c>
      <c r="Q6" s="94">
        <v>24.2</v>
      </c>
      <c r="R6" s="146">
        <v>24.39</v>
      </c>
      <c r="S6" s="94">
        <v>24.58</v>
      </c>
      <c r="T6" s="94">
        <v>24.77</v>
      </c>
      <c r="U6" s="94">
        <v>24.94</v>
      </c>
      <c r="V6" s="94">
        <v>25.1</v>
      </c>
      <c r="W6" s="94">
        <v>25.24</v>
      </c>
      <c r="X6" s="94">
        <v>25.39</v>
      </c>
      <c r="Y6" s="94">
        <v>25.52</v>
      </c>
    </row>
    <row r="7" spans="1:25" x14ac:dyDescent="0.3">
      <c r="A7" s="95" t="s">
        <v>12</v>
      </c>
      <c r="B7" s="94">
        <v>21.23</v>
      </c>
      <c r="C7" s="94">
        <v>21.1</v>
      </c>
      <c r="D7" s="94">
        <v>20.97</v>
      </c>
      <c r="E7" s="94">
        <v>20.84</v>
      </c>
      <c r="F7" s="94">
        <v>20.7</v>
      </c>
      <c r="G7" s="94">
        <v>20.58</v>
      </c>
      <c r="H7" s="94">
        <v>20.46</v>
      </c>
      <c r="I7" s="94">
        <v>20.350000000000001</v>
      </c>
      <c r="J7" s="94">
        <v>20.239999999999998</v>
      </c>
      <c r="K7" s="94">
        <v>20.14</v>
      </c>
      <c r="L7" s="94">
        <v>20.07</v>
      </c>
      <c r="M7" s="94">
        <v>20</v>
      </c>
      <c r="N7" s="94">
        <v>19.920000000000002</v>
      </c>
      <c r="O7" s="94">
        <v>19.84</v>
      </c>
      <c r="P7" s="94">
        <v>19.760000000000002</v>
      </c>
      <c r="Q7" s="94">
        <v>19.7</v>
      </c>
      <c r="R7" s="146">
        <v>19.649999999999999</v>
      </c>
      <c r="S7" s="94">
        <v>19.600000000000001</v>
      </c>
      <c r="T7" s="94">
        <v>19.54</v>
      </c>
      <c r="U7" s="94">
        <v>19.5</v>
      </c>
      <c r="V7" s="94">
        <v>19.47</v>
      </c>
      <c r="W7" s="94">
        <v>19.440000000000001</v>
      </c>
      <c r="X7" s="94">
        <v>19.41</v>
      </c>
      <c r="Y7" s="94">
        <v>19.39</v>
      </c>
    </row>
    <row r="8" spans="1:25" x14ac:dyDescent="0.3">
      <c r="A8" s="95" t="s">
        <v>13</v>
      </c>
      <c r="B8" s="94">
        <v>11.16</v>
      </c>
      <c r="C8" s="94">
        <v>11.08</v>
      </c>
      <c r="D8" s="94">
        <v>11.01</v>
      </c>
      <c r="E8" s="94">
        <v>10.95</v>
      </c>
      <c r="F8" s="94">
        <v>10.88</v>
      </c>
      <c r="G8" s="94">
        <v>10.83</v>
      </c>
      <c r="H8" s="94">
        <v>10.77</v>
      </c>
      <c r="I8" s="94">
        <v>10.71</v>
      </c>
      <c r="J8" s="94">
        <v>10.64</v>
      </c>
      <c r="K8" s="94">
        <v>10.56</v>
      </c>
      <c r="L8" s="94">
        <v>10.51</v>
      </c>
      <c r="M8" s="94">
        <v>10.46</v>
      </c>
      <c r="N8" s="94">
        <v>10.42</v>
      </c>
      <c r="O8" s="94">
        <v>10.39</v>
      </c>
      <c r="P8" s="94">
        <v>10.36</v>
      </c>
      <c r="Q8" s="94">
        <v>10.34</v>
      </c>
      <c r="R8" s="146">
        <v>10.3</v>
      </c>
      <c r="S8" s="94">
        <v>10.27</v>
      </c>
      <c r="T8" s="94">
        <v>10.23</v>
      </c>
      <c r="U8" s="94">
        <v>10.199999999999999</v>
      </c>
      <c r="V8" s="94">
        <v>10.17</v>
      </c>
      <c r="W8" s="94">
        <v>10.14</v>
      </c>
      <c r="X8" s="94">
        <v>10.11</v>
      </c>
      <c r="Y8" s="94">
        <v>10.09</v>
      </c>
    </row>
    <row r="9" spans="1:25" x14ac:dyDescent="0.3">
      <c r="A9" s="95" t="s">
        <v>14</v>
      </c>
      <c r="B9" s="94">
        <v>7.75</v>
      </c>
      <c r="C9" s="94">
        <v>7.77</v>
      </c>
      <c r="D9" s="94">
        <v>7.78</v>
      </c>
      <c r="E9" s="94">
        <v>7.79</v>
      </c>
      <c r="F9" s="94">
        <v>7.8</v>
      </c>
      <c r="G9" s="94">
        <v>7.81</v>
      </c>
      <c r="H9" s="94">
        <v>7.83</v>
      </c>
      <c r="I9" s="94">
        <v>7.85</v>
      </c>
      <c r="J9" s="94">
        <v>7.88</v>
      </c>
      <c r="K9" s="94">
        <v>7.91</v>
      </c>
      <c r="L9" s="94">
        <v>7.92</v>
      </c>
      <c r="M9" s="94">
        <v>7.93</v>
      </c>
      <c r="N9" s="94">
        <v>7.94</v>
      </c>
      <c r="O9" s="94">
        <v>7.94</v>
      </c>
      <c r="P9" s="94">
        <v>7.93</v>
      </c>
      <c r="Q9" s="94">
        <v>7.94</v>
      </c>
      <c r="R9" s="146">
        <v>7.95</v>
      </c>
      <c r="S9" s="94">
        <v>7.97</v>
      </c>
      <c r="T9" s="94">
        <v>7.98</v>
      </c>
      <c r="U9" s="94">
        <v>8</v>
      </c>
      <c r="V9" s="94">
        <v>8.01</v>
      </c>
      <c r="W9" s="94">
        <v>8.02</v>
      </c>
      <c r="X9" s="94">
        <v>8.0299999999999994</v>
      </c>
      <c r="Y9" s="94">
        <v>8.0399999999999991</v>
      </c>
    </row>
    <row r="10" spans="1:25" x14ac:dyDescent="0.3">
      <c r="A10" s="95" t="s">
        <v>15</v>
      </c>
      <c r="B10" s="94">
        <v>2.29</v>
      </c>
      <c r="C10" s="94">
        <v>2.2799999999999998</v>
      </c>
      <c r="D10" s="94">
        <v>2.2799999999999998</v>
      </c>
      <c r="E10" s="94">
        <v>2.2799999999999998</v>
      </c>
      <c r="F10" s="94">
        <v>2.27</v>
      </c>
      <c r="G10" s="94">
        <v>2.27</v>
      </c>
      <c r="H10" s="94">
        <v>2.2599999999999998</v>
      </c>
      <c r="I10" s="94">
        <v>2.2599999999999998</v>
      </c>
      <c r="J10" s="94">
        <v>2.25</v>
      </c>
      <c r="K10" s="94">
        <v>2.2400000000000002</v>
      </c>
      <c r="L10" s="94">
        <v>2.23</v>
      </c>
      <c r="M10" s="94">
        <v>2.23</v>
      </c>
      <c r="N10" s="94">
        <v>2.2200000000000002</v>
      </c>
      <c r="O10" s="94">
        <v>2.2200000000000002</v>
      </c>
      <c r="P10" s="94">
        <v>2.2200000000000002</v>
      </c>
      <c r="Q10" s="94">
        <v>2.21</v>
      </c>
      <c r="R10" s="146">
        <v>2.21</v>
      </c>
      <c r="S10" s="94">
        <v>2.21</v>
      </c>
      <c r="T10" s="94">
        <v>2.2000000000000002</v>
      </c>
      <c r="U10" s="94">
        <v>2.2000000000000002</v>
      </c>
      <c r="V10" s="94">
        <v>2.19</v>
      </c>
      <c r="W10" s="94">
        <v>2.19</v>
      </c>
      <c r="X10" s="94">
        <v>2.19</v>
      </c>
      <c r="Y10" s="94">
        <v>2.19</v>
      </c>
    </row>
    <row r="11" spans="1:25" x14ac:dyDescent="0.3">
      <c r="A11" s="95" t="s">
        <v>16</v>
      </c>
      <c r="B11" s="94">
        <v>6.35</v>
      </c>
      <c r="C11" s="94">
        <v>6.36</v>
      </c>
      <c r="D11" s="94">
        <v>6.37</v>
      </c>
      <c r="E11" s="94">
        <v>6.38</v>
      </c>
      <c r="F11" s="94">
        <v>6.4</v>
      </c>
      <c r="G11" s="94">
        <v>6.42</v>
      </c>
      <c r="H11" s="94">
        <v>6.44</v>
      </c>
      <c r="I11" s="94">
        <v>6.45</v>
      </c>
      <c r="J11" s="94">
        <v>6.46</v>
      </c>
      <c r="K11" s="94">
        <v>6.47</v>
      </c>
      <c r="L11" s="94">
        <v>6.48</v>
      </c>
      <c r="M11" s="94">
        <v>6.5</v>
      </c>
      <c r="N11" s="94">
        <v>6.51</v>
      </c>
      <c r="O11" s="94">
        <v>6.52</v>
      </c>
      <c r="P11" s="94">
        <v>6.53</v>
      </c>
      <c r="Q11" s="94">
        <v>6.54</v>
      </c>
      <c r="R11" s="146">
        <v>6.55</v>
      </c>
      <c r="S11" s="94">
        <v>6.56</v>
      </c>
      <c r="T11" s="94">
        <v>6.57</v>
      </c>
      <c r="U11" s="94">
        <v>6.58</v>
      </c>
      <c r="V11" s="94">
        <v>6.59</v>
      </c>
      <c r="W11" s="94">
        <v>6.6</v>
      </c>
      <c r="X11" s="94">
        <v>6.62</v>
      </c>
      <c r="Y11" s="94">
        <v>6.63</v>
      </c>
    </row>
    <row r="12" spans="1:25" x14ac:dyDescent="0.3">
      <c r="A12" s="95" t="s">
        <v>70</v>
      </c>
      <c r="B12" s="94">
        <v>10.62</v>
      </c>
      <c r="C12" s="94">
        <v>10.7</v>
      </c>
      <c r="D12" s="94">
        <v>10.78</v>
      </c>
      <c r="E12" s="94">
        <v>10.86</v>
      </c>
      <c r="F12" s="94">
        <v>10.94</v>
      </c>
      <c r="G12" s="94">
        <v>11.02</v>
      </c>
      <c r="H12" s="94">
        <v>11.11</v>
      </c>
      <c r="I12" s="94">
        <v>11.19</v>
      </c>
      <c r="J12" s="94">
        <v>11.28</v>
      </c>
      <c r="K12" s="94">
        <v>11.38</v>
      </c>
      <c r="L12" s="94">
        <v>11.44</v>
      </c>
      <c r="M12" s="94">
        <v>11.5</v>
      </c>
      <c r="N12" s="94">
        <v>11.56</v>
      </c>
      <c r="O12" s="94">
        <v>11.62</v>
      </c>
      <c r="P12" s="94">
        <v>11.67</v>
      </c>
      <c r="Q12" s="94">
        <v>11.72</v>
      </c>
      <c r="R12" s="146">
        <v>11.77</v>
      </c>
      <c r="S12" s="94">
        <v>11.82</v>
      </c>
      <c r="T12" s="94">
        <v>11.87</v>
      </c>
      <c r="U12" s="94">
        <v>11.91</v>
      </c>
      <c r="V12" s="94">
        <v>11.96</v>
      </c>
      <c r="W12" s="94">
        <v>12</v>
      </c>
      <c r="X12" s="94">
        <v>12.05</v>
      </c>
      <c r="Y12" s="94">
        <v>12.09</v>
      </c>
    </row>
    <row r="13" spans="1:25" x14ac:dyDescent="0.3">
      <c r="A13" s="95" t="s">
        <v>9</v>
      </c>
      <c r="B13" s="94">
        <v>100</v>
      </c>
      <c r="C13" s="94">
        <v>100</v>
      </c>
      <c r="D13" s="94">
        <v>99.999999999999972</v>
      </c>
      <c r="E13" s="94">
        <v>100.00000000000001</v>
      </c>
      <c r="F13" s="94">
        <v>100.00000000000001</v>
      </c>
      <c r="G13" s="94">
        <v>100</v>
      </c>
      <c r="H13" s="94">
        <v>99.999999999999986</v>
      </c>
      <c r="I13" s="94">
        <v>100.00000000000001</v>
      </c>
      <c r="J13" s="94">
        <v>99.999999999999972</v>
      </c>
      <c r="K13" s="94">
        <v>100</v>
      </c>
      <c r="L13" s="94">
        <v>100.00000000000001</v>
      </c>
      <c r="M13" s="94">
        <v>100.00000000000001</v>
      </c>
      <c r="N13" s="94">
        <v>100.00000000000003</v>
      </c>
      <c r="O13" s="94">
        <v>99.999999999999986</v>
      </c>
      <c r="P13" s="94">
        <v>100</v>
      </c>
      <c r="Q13" s="94">
        <v>99.999999999999986</v>
      </c>
      <c r="R13" s="94">
        <v>99.999999999999986</v>
      </c>
      <c r="S13" s="94">
        <v>100.00000000000001</v>
      </c>
      <c r="T13" s="94">
        <v>100</v>
      </c>
      <c r="U13" s="94">
        <v>99.999999999999986</v>
      </c>
      <c r="V13" s="94">
        <v>100.00000000000003</v>
      </c>
      <c r="W13" s="94">
        <v>100.00000000000001</v>
      </c>
      <c r="X13" s="94">
        <v>99.999999999999957</v>
      </c>
      <c r="Y13" s="95">
        <v>100</v>
      </c>
    </row>
    <row r="16" spans="1:25" x14ac:dyDescent="0.3"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</row>
    <row r="17" spans="2:19" x14ac:dyDescent="0.3"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</row>
    <row r="18" spans="2:19" x14ac:dyDescent="0.3"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</row>
    <row r="19" spans="2:19" x14ac:dyDescent="0.3"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</row>
    <row r="20" spans="2:19" x14ac:dyDescent="0.3"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</row>
    <row r="21" spans="2:19" x14ac:dyDescent="0.3">
      <c r="B21" s="86"/>
      <c r="C21" s="86"/>
      <c r="D21" s="86" t="s">
        <v>121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3"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</row>
    <row r="23" spans="2:19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</row>
    <row r="24" spans="2:19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</row>
    <row r="25" spans="2:19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</row>
    <row r="27" spans="2:19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</row>
    <row r="28" spans="2:19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</row>
    <row r="29" spans="2:19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</row>
    <row r="30" spans="2:19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</row>
    <row r="31" spans="2:19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</row>
    <row r="32" spans="2:19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</row>
    <row r="33" spans="2:19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</row>
    <row r="34" spans="2:19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</row>
    <row r="35" spans="2:19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</row>
    <row r="36" spans="2:19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42"/>
  <sheetViews>
    <sheetView topLeftCell="B1" zoomScale="72" zoomScaleNormal="72" workbookViewId="0">
      <selection activeCell="O11" sqref="O11"/>
    </sheetView>
  </sheetViews>
  <sheetFormatPr defaultColWidth="8.88671875" defaultRowHeight="14.4" x14ac:dyDescent="0.3"/>
  <cols>
    <col min="1" max="1" width="8.88671875" style="80"/>
    <col min="2" max="9" width="9.33203125" style="80" bestFit="1" customWidth="1"/>
    <col min="10" max="10" width="10.33203125" style="80" bestFit="1" customWidth="1"/>
    <col min="11" max="12" width="9.33203125" style="80" bestFit="1" customWidth="1"/>
    <col min="13" max="13" width="10.33203125" style="80" bestFit="1" customWidth="1"/>
    <col min="14" max="28" width="9.33203125" style="80" bestFit="1" customWidth="1"/>
    <col min="29" max="31" width="10.33203125" style="80" bestFit="1" customWidth="1"/>
    <col min="32" max="16384" width="8.88671875" style="80"/>
  </cols>
  <sheetData>
    <row r="1" spans="1:32" x14ac:dyDescent="0.3">
      <c r="A1" s="88"/>
      <c r="B1" s="147" t="s">
        <v>41</v>
      </c>
      <c r="C1" s="148"/>
      <c r="D1" s="149"/>
      <c r="E1" s="147" t="s">
        <v>42</v>
      </c>
      <c r="F1" s="148"/>
      <c r="G1" s="149"/>
      <c r="H1" s="147" t="s">
        <v>58</v>
      </c>
      <c r="I1" s="148"/>
      <c r="J1" s="149"/>
      <c r="K1" s="147" t="s">
        <v>43</v>
      </c>
      <c r="L1" s="148"/>
      <c r="M1" s="149"/>
      <c r="N1" s="147" t="s">
        <v>44</v>
      </c>
      <c r="O1" s="148"/>
      <c r="P1" s="149"/>
      <c r="Q1" s="147" t="s">
        <v>45</v>
      </c>
      <c r="R1" s="148"/>
      <c r="S1" s="149"/>
      <c r="T1" s="147" t="s">
        <v>46</v>
      </c>
      <c r="U1" s="148"/>
      <c r="V1" s="149"/>
      <c r="W1" s="147" t="s">
        <v>47</v>
      </c>
      <c r="X1" s="148"/>
      <c r="Y1" s="149"/>
      <c r="Z1" s="147" t="s">
        <v>48</v>
      </c>
      <c r="AA1" s="148"/>
      <c r="AB1" s="149"/>
      <c r="AC1" s="147" t="s">
        <v>23</v>
      </c>
      <c r="AD1" s="148"/>
      <c r="AE1" s="149"/>
    </row>
    <row r="2" spans="1:32" x14ac:dyDescent="0.3">
      <c r="A2" s="88"/>
      <c r="B2" s="88" t="s">
        <v>21</v>
      </c>
      <c r="C2" s="88" t="s">
        <v>22</v>
      </c>
      <c r="D2" s="88" t="s">
        <v>9</v>
      </c>
      <c r="E2" s="88" t="s">
        <v>21</v>
      </c>
      <c r="F2" s="88" t="s">
        <v>22</v>
      </c>
      <c r="G2" s="88" t="s">
        <v>9</v>
      </c>
      <c r="H2" s="88" t="s">
        <v>21</v>
      </c>
      <c r="I2" s="88" t="s">
        <v>22</v>
      </c>
      <c r="J2" s="88" t="s">
        <v>9</v>
      </c>
      <c r="K2" s="88" t="s">
        <v>21</v>
      </c>
      <c r="L2" s="88" t="s">
        <v>22</v>
      </c>
      <c r="M2" s="88" t="s">
        <v>9</v>
      </c>
      <c r="N2" s="88" t="s">
        <v>21</v>
      </c>
      <c r="O2" s="88" t="s">
        <v>22</v>
      </c>
      <c r="P2" s="88" t="s">
        <v>9</v>
      </c>
      <c r="Q2" s="88" t="s">
        <v>21</v>
      </c>
      <c r="R2" s="88" t="s">
        <v>22</v>
      </c>
      <c r="S2" s="88" t="s">
        <v>9</v>
      </c>
      <c r="T2" s="88" t="s">
        <v>21</v>
      </c>
      <c r="U2" s="88" t="s">
        <v>22</v>
      </c>
      <c r="V2" s="88" t="s">
        <v>9</v>
      </c>
      <c r="W2" s="88" t="s">
        <v>21</v>
      </c>
      <c r="X2" s="88" t="s">
        <v>22</v>
      </c>
      <c r="Y2" s="88" t="s">
        <v>9</v>
      </c>
      <c r="Z2" s="88" t="s">
        <v>21</v>
      </c>
      <c r="AA2" s="88" t="s">
        <v>22</v>
      </c>
      <c r="AB2" s="88" t="s">
        <v>9</v>
      </c>
      <c r="AC2" s="88" t="s">
        <v>21</v>
      </c>
      <c r="AD2" s="88" t="s">
        <v>22</v>
      </c>
      <c r="AE2" s="88" t="s">
        <v>9</v>
      </c>
    </row>
    <row r="3" spans="1:32" x14ac:dyDescent="0.3">
      <c r="A3" s="89" t="s">
        <v>24</v>
      </c>
      <c r="B3" s="90">
        <v>353344</v>
      </c>
      <c r="C3" s="90">
        <v>347608</v>
      </c>
      <c r="D3" s="90">
        <v>700952</v>
      </c>
      <c r="E3" s="90">
        <v>134896</v>
      </c>
      <c r="F3" s="90">
        <v>133750</v>
      </c>
      <c r="G3" s="90">
        <v>268645</v>
      </c>
      <c r="H3" s="90">
        <v>597120</v>
      </c>
      <c r="I3" s="90">
        <v>581654</v>
      </c>
      <c r="J3" s="90">
        <v>1178774</v>
      </c>
      <c r="K3" s="90">
        <v>601187</v>
      </c>
      <c r="L3" s="90">
        <v>585290</v>
      </c>
      <c r="M3" s="90">
        <v>1186477</v>
      </c>
      <c r="N3" s="90">
        <v>343745</v>
      </c>
      <c r="O3" s="90">
        <v>334984</v>
      </c>
      <c r="P3" s="90">
        <v>678729</v>
      </c>
      <c r="Q3" s="90">
        <v>231066</v>
      </c>
      <c r="R3" s="90">
        <v>226456</v>
      </c>
      <c r="S3" s="90">
        <v>457522</v>
      </c>
      <c r="T3" s="90">
        <v>66728</v>
      </c>
      <c r="U3" s="90">
        <v>65528</v>
      </c>
      <c r="V3" s="90">
        <v>132257</v>
      </c>
      <c r="W3" s="90">
        <v>190047</v>
      </c>
      <c r="X3" s="90">
        <v>185456</v>
      </c>
      <c r="Y3" s="90">
        <v>375503</v>
      </c>
      <c r="Z3" s="90">
        <v>271995</v>
      </c>
      <c r="AA3" s="90">
        <v>262147</v>
      </c>
      <c r="AB3" s="90">
        <v>534142</v>
      </c>
      <c r="AC3" s="90">
        <v>2790128</v>
      </c>
      <c r="AD3" s="90">
        <v>2722873</v>
      </c>
      <c r="AE3" s="90">
        <v>5513001</v>
      </c>
      <c r="AF3" s="83">
        <f>'MYPE by pop grp age and sex'!P3-'Povincial est by age and sex'!AE3</f>
        <v>0</v>
      </c>
    </row>
    <row r="4" spans="1:32" x14ac:dyDescent="0.3">
      <c r="A4" s="89" t="s">
        <v>25</v>
      </c>
      <c r="B4" s="90">
        <v>353590</v>
      </c>
      <c r="C4" s="90">
        <v>349708</v>
      </c>
      <c r="D4" s="90">
        <v>703298</v>
      </c>
      <c r="E4" s="90">
        <v>130025</v>
      </c>
      <c r="F4" s="90">
        <v>130124</v>
      </c>
      <c r="G4" s="90">
        <v>260150</v>
      </c>
      <c r="H4" s="90">
        <v>590445</v>
      </c>
      <c r="I4" s="90">
        <v>573174</v>
      </c>
      <c r="J4" s="90">
        <v>1163619</v>
      </c>
      <c r="K4" s="90">
        <v>580138</v>
      </c>
      <c r="L4" s="90">
        <v>564768</v>
      </c>
      <c r="M4" s="90">
        <v>1144907</v>
      </c>
      <c r="N4" s="90">
        <v>338812</v>
      </c>
      <c r="O4" s="90">
        <v>330157</v>
      </c>
      <c r="P4" s="90">
        <v>668969</v>
      </c>
      <c r="Q4" s="90">
        <v>219453</v>
      </c>
      <c r="R4" s="90">
        <v>216180</v>
      </c>
      <c r="S4" s="90">
        <v>435633</v>
      </c>
      <c r="T4" s="90">
        <v>63777</v>
      </c>
      <c r="U4" s="90">
        <v>63078</v>
      </c>
      <c r="V4" s="90">
        <v>126855</v>
      </c>
      <c r="W4" s="90">
        <v>182203</v>
      </c>
      <c r="X4" s="90">
        <v>176595</v>
      </c>
      <c r="Y4" s="90">
        <v>358799</v>
      </c>
      <c r="Z4" s="90">
        <v>271843</v>
      </c>
      <c r="AA4" s="90">
        <v>261468</v>
      </c>
      <c r="AB4" s="90">
        <v>533310</v>
      </c>
      <c r="AC4" s="90">
        <v>2730286</v>
      </c>
      <c r="AD4" s="90">
        <v>2665253</v>
      </c>
      <c r="AE4" s="90">
        <v>5395539</v>
      </c>
      <c r="AF4" s="83">
        <f>'MYPE by pop grp age and sex'!P4-'Povincial est by age and sex'!AE4</f>
        <v>0</v>
      </c>
    </row>
    <row r="5" spans="1:32" x14ac:dyDescent="0.3">
      <c r="A5" s="89" t="s">
        <v>26</v>
      </c>
      <c r="B5" s="90">
        <v>371215</v>
      </c>
      <c r="C5" s="90">
        <v>367777</v>
      </c>
      <c r="D5" s="90">
        <v>738992</v>
      </c>
      <c r="E5" s="90">
        <v>136378</v>
      </c>
      <c r="F5" s="90">
        <v>138338</v>
      </c>
      <c r="G5" s="90">
        <v>274716</v>
      </c>
      <c r="H5" s="90">
        <v>606347</v>
      </c>
      <c r="I5" s="90">
        <v>590766</v>
      </c>
      <c r="J5" s="90">
        <v>1197113</v>
      </c>
      <c r="K5" s="90">
        <v>597072</v>
      </c>
      <c r="L5" s="90">
        <v>584171</v>
      </c>
      <c r="M5" s="90">
        <v>1181243</v>
      </c>
      <c r="N5" s="90">
        <v>341170</v>
      </c>
      <c r="O5" s="90">
        <v>332353</v>
      </c>
      <c r="P5" s="90">
        <v>673523</v>
      </c>
      <c r="Q5" s="90">
        <v>227683</v>
      </c>
      <c r="R5" s="90">
        <v>225517</v>
      </c>
      <c r="S5" s="90">
        <v>453201</v>
      </c>
      <c r="T5" s="90">
        <v>63882</v>
      </c>
      <c r="U5" s="90">
        <v>63539</v>
      </c>
      <c r="V5" s="90">
        <v>127421</v>
      </c>
      <c r="W5" s="90">
        <v>191394</v>
      </c>
      <c r="X5" s="90">
        <v>186904</v>
      </c>
      <c r="Y5" s="90">
        <v>378298</v>
      </c>
      <c r="Z5" s="90">
        <v>296137</v>
      </c>
      <c r="AA5" s="90">
        <v>286324</v>
      </c>
      <c r="AB5" s="90">
        <v>582460</v>
      </c>
      <c r="AC5" s="90">
        <v>2831278</v>
      </c>
      <c r="AD5" s="90">
        <v>2775688</v>
      </c>
      <c r="AE5" s="90">
        <v>5606966</v>
      </c>
      <c r="AF5" s="83">
        <f>'MYPE by pop grp age and sex'!P5-'Povincial est by age and sex'!AE5</f>
        <v>0</v>
      </c>
    </row>
    <row r="6" spans="1:32" x14ac:dyDescent="0.3">
      <c r="A6" s="89" t="s">
        <v>27</v>
      </c>
      <c r="B6" s="90">
        <v>344512</v>
      </c>
      <c r="C6" s="90">
        <v>346393</v>
      </c>
      <c r="D6" s="90">
        <v>690905</v>
      </c>
      <c r="E6" s="90">
        <v>138465</v>
      </c>
      <c r="F6" s="90">
        <v>144094</v>
      </c>
      <c r="G6" s="90">
        <v>282559</v>
      </c>
      <c r="H6" s="90">
        <v>613634</v>
      </c>
      <c r="I6" s="90">
        <v>602693</v>
      </c>
      <c r="J6" s="90">
        <v>1216327</v>
      </c>
      <c r="K6" s="90">
        <v>573566</v>
      </c>
      <c r="L6" s="90">
        <v>568576</v>
      </c>
      <c r="M6" s="90">
        <v>1142142</v>
      </c>
      <c r="N6" s="90">
        <v>312773</v>
      </c>
      <c r="O6" s="90">
        <v>301784</v>
      </c>
      <c r="P6" s="90">
        <v>614557</v>
      </c>
      <c r="Q6" s="90">
        <v>228407</v>
      </c>
      <c r="R6" s="90">
        <v>227295</v>
      </c>
      <c r="S6" s="90">
        <v>455702</v>
      </c>
      <c r="T6" s="90">
        <v>60896</v>
      </c>
      <c r="U6" s="90">
        <v>60072</v>
      </c>
      <c r="V6" s="90">
        <v>120968</v>
      </c>
      <c r="W6" s="90">
        <v>189615</v>
      </c>
      <c r="X6" s="90">
        <v>185982</v>
      </c>
      <c r="Y6" s="90">
        <v>375597</v>
      </c>
      <c r="Z6" s="90">
        <v>305565</v>
      </c>
      <c r="AA6" s="90">
        <v>295914</v>
      </c>
      <c r="AB6" s="90">
        <v>601478</v>
      </c>
      <c r="AC6" s="90">
        <v>2767432</v>
      </c>
      <c r="AD6" s="90">
        <v>2732803</v>
      </c>
      <c r="AE6" s="90">
        <v>5500235</v>
      </c>
      <c r="AF6" s="83">
        <f>'MYPE by pop grp age and sex'!P6-'Povincial est by age and sex'!AE6</f>
        <v>0</v>
      </c>
    </row>
    <row r="7" spans="1:32" x14ac:dyDescent="0.3">
      <c r="A7" s="89" t="s">
        <v>28</v>
      </c>
      <c r="B7" s="90">
        <v>250964</v>
      </c>
      <c r="C7" s="90">
        <v>270523</v>
      </c>
      <c r="D7" s="90">
        <v>521487</v>
      </c>
      <c r="E7" s="90">
        <v>116679</v>
      </c>
      <c r="F7" s="90">
        <v>124544</v>
      </c>
      <c r="G7" s="90">
        <v>241223</v>
      </c>
      <c r="H7" s="90">
        <v>607225</v>
      </c>
      <c r="I7" s="90">
        <v>581979</v>
      </c>
      <c r="J7" s="90">
        <v>1189204</v>
      </c>
      <c r="K7" s="90">
        <v>481166</v>
      </c>
      <c r="L7" s="90">
        <v>488768</v>
      </c>
      <c r="M7" s="90">
        <v>969934</v>
      </c>
      <c r="N7" s="90">
        <v>245984</v>
      </c>
      <c r="O7" s="90">
        <v>241065</v>
      </c>
      <c r="P7" s="90">
        <v>487049</v>
      </c>
      <c r="Q7" s="90">
        <v>194909</v>
      </c>
      <c r="R7" s="90">
        <v>194051</v>
      </c>
      <c r="S7" s="90">
        <v>388960</v>
      </c>
      <c r="T7" s="90">
        <v>54018</v>
      </c>
      <c r="U7" s="90">
        <v>52047</v>
      </c>
      <c r="V7" s="90">
        <v>106064</v>
      </c>
      <c r="W7" s="90">
        <v>167827</v>
      </c>
      <c r="X7" s="90">
        <v>159391</v>
      </c>
      <c r="Y7" s="90">
        <v>327217</v>
      </c>
      <c r="Z7" s="90">
        <v>288644</v>
      </c>
      <c r="AA7" s="90">
        <v>273260</v>
      </c>
      <c r="AB7" s="90">
        <v>561903</v>
      </c>
      <c r="AC7" s="90">
        <v>2407414</v>
      </c>
      <c r="AD7" s="90">
        <v>2385627</v>
      </c>
      <c r="AE7" s="90">
        <v>4793041</v>
      </c>
      <c r="AF7" s="83">
        <f>'MYPE by pop grp age and sex'!P7-'Povincial est by age and sex'!AE7</f>
        <v>0</v>
      </c>
    </row>
    <row r="8" spans="1:32" x14ac:dyDescent="0.3">
      <c r="A8" s="89" t="s">
        <v>29</v>
      </c>
      <c r="B8" s="90">
        <v>228276</v>
      </c>
      <c r="C8" s="90">
        <v>252547</v>
      </c>
      <c r="D8" s="90">
        <v>480823</v>
      </c>
      <c r="E8" s="90">
        <v>112827</v>
      </c>
      <c r="F8" s="90">
        <v>120558</v>
      </c>
      <c r="G8" s="90">
        <v>233385</v>
      </c>
      <c r="H8" s="90">
        <v>681881</v>
      </c>
      <c r="I8" s="90">
        <v>646514</v>
      </c>
      <c r="J8" s="90">
        <v>1328394</v>
      </c>
      <c r="K8" s="90">
        <v>493452</v>
      </c>
      <c r="L8" s="90">
        <v>508793</v>
      </c>
      <c r="M8" s="90">
        <v>1002245</v>
      </c>
      <c r="N8" s="90">
        <v>229002</v>
      </c>
      <c r="O8" s="90">
        <v>228771</v>
      </c>
      <c r="P8" s="90">
        <v>457773</v>
      </c>
      <c r="Q8" s="90">
        <v>213076</v>
      </c>
      <c r="R8" s="90">
        <v>209622</v>
      </c>
      <c r="S8" s="90">
        <v>422698</v>
      </c>
      <c r="T8" s="90">
        <v>54238</v>
      </c>
      <c r="U8" s="90">
        <v>51274</v>
      </c>
      <c r="V8" s="90">
        <v>105512</v>
      </c>
      <c r="W8" s="90">
        <v>173221</v>
      </c>
      <c r="X8" s="90">
        <v>154422</v>
      </c>
      <c r="Y8" s="90">
        <v>327642</v>
      </c>
      <c r="Z8" s="90">
        <v>314930</v>
      </c>
      <c r="AA8" s="90">
        <v>292824</v>
      </c>
      <c r="AB8" s="90">
        <v>607754</v>
      </c>
      <c r="AC8" s="90">
        <v>2500901</v>
      </c>
      <c r="AD8" s="90">
        <v>2465326</v>
      </c>
      <c r="AE8" s="90">
        <v>4966227</v>
      </c>
      <c r="AF8" s="83">
        <f>'MYPE by pop grp age and sex'!P8-'Povincial est by age and sex'!AE8</f>
        <v>0</v>
      </c>
    </row>
    <row r="9" spans="1:32" x14ac:dyDescent="0.3">
      <c r="A9" s="89" t="s">
        <v>30</v>
      </c>
      <c r="B9" s="90">
        <v>252043</v>
      </c>
      <c r="C9" s="90">
        <v>283608</v>
      </c>
      <c r="D9" s="90">
        <v>535651</v>
      </c>
      <c r="E9" s="90">
        <v>120006</v>
      </c>
      <c r="F9" s="90">
        <v>128855</v>
      </c>
      <c r="G9" s="90">
        <v>248861</v>
      </c>
      <c r="H9" s="90">
        <v>783517</v>
      </c>
      <c r="I9" s="90">
        <v>756404</v>
      </c>
      <c r="J9" s="90">
        <v>1539921</v>
      </c>
      <c r="K9" s="90">
        <v>530399</v>
      </c>
      <c r="L9" s="90">
        <v>549630</v>
      </c>
      <c r="M9" s="90">
        <v>1080029</v>
      </c>
      <c r="N9" s="90">
        <v>252364</v>
      </c>
      <c r="O9" s="90">
        <v>252811</v>
      </c>
      <c r="P9" s="90">
        <v>505175</v>
      </c>
      <c r="Q9" s="90">
        <v>231566</v>
      </c>
      <c r="R9" s="90">
        <v>222173</v>
      </c>
      <c r="S9" s="90">
        <v>453739</v>
      </c>
      <c r="T9" s="90">
        <v>57859</v>
      </c>
      <c r="U9" s="90">
        <v>54237</v>
      </c>
      <c r="V9" s="90">
        <v>112096</v>
      </c>
      <c r="W9" s="90">
        <v>191929</v>
      </c>
      <c r="X9" s="90">
        <v>168844</v>
      </c>
      <c r="Y9" s="90">
        <v>360773</v>
      </c>
      <c r="Z9" s="90">
        <v>342348</v>
      </c>
      <c r="AA9" s="90">
        <v>325679</v>
      </c>
      <c r="AB9" s="90">
        <v>668027</v>
      </c>
      <c r="AC9" s="90">
        <v>2762030</v>
      </c>
      <c r="AD9" s="90">
        <v>2742243</v>
      </c>
      <c r="AE9" s="90">
        <v>5504273</v>
      </c>
      <c r="AF9" s="83">
        <f>'MYPE by pop grp age and sex'!P9-'Povincial est by age and sex'!AE9</f>
        <v>0</v>
      </c>
    </row>
    <row r="10" spans="1:32" x14ac:dyDescent="0.3">
      <c r="A10" s="89" t="s">
        <v>31</v>
      </c>
      <c r="B10" s="90">
        <v>241879</v>
      </c>
      <c r="C10" s="90">
        <v>269823</v>
      </c>
      <c r="D10" s="90">
        <v>511702</v>
      </c>
      <c r="E10" s="90">
        <v>122777</v>
      </c>
      <c r="F10" s="90">
        <v>132272</v>
      </c>
      <c r="G10" s="90">
        <v>255049</v>
      </c>
      <c r="H10" s="90">
        <v>849953</v>
      </c>
      <c r="I10" s="90">
        <v>823533</v>
      </c>
      <c r="J10" s="90">
        <v>1673486</v>
      </c>
      <c r="K10" s="90">
        <v>520679</v>
      </c>
      <c r="L10" s="90">
        <v>531072</v>
      </c>
      <c r="M10" s="90">
        <v>1051750</v>
      </c>
      <c r="N10" s="90">
        <v>244388</v>
      </c>
      <c r="O10" s="90">
        <v>241721</v>
      </c>
      <c r="P10" s="90">
        <v>486108</v>
      </c>
      <c r="Q10" s="90">
        <v>240024</v>
      </c>
      <c r="R10" s="90">
        <v>223255</v>
      </c>
      <c r="S10" s="90">
        <v>463279</v>
      </c>
      <c r="T10" s="90">
        <v>58398</v>
      </c>
      <c r="U10" s="90">
        <v>54539</v>
      </c>
      <c r="V10" s="90">
        <v>112937</v>
      </c>
      <c r="W10" s="90">
        <v>196639</v>
      </c>
      <c r="X10" s="90">
        <v>172612</v>
      </c>
      <c r="Y10" s="90">
        <v>369251</v>
      </c>
      <c r="Z10" s="90">
        <v>361259</v>
      </c>
      <c r="AA10" s="90">
        <v>348798</v>
      </c>
      <c r="AB10" s="90">
        <v>710057</v>
      </c>
      <c r="AC10" s="90">
        <v>2835996</v>
      </c>
      <c r="AD10" s="90">
        <v>2797625</v>
      </c>
      <c r="AE10" s="90">
        <v>5633621</v>
      </c>
      <c r="AF10" s="83">
        <f>'MYPE by pop grp age and sex'!P10-'Povincial est by age and sex'!AE10</f>
        <v>0</v>
      </c>
    </row>
    <row r="11" spans="1:32" x14ac:dyDescent="0.3">
      <c r="A11" s="89" t="s">
        <v>32</v>
      </c>
      <c r="B11" s="90">
        <v>194587</v>
      </c>
      <c r="C11" s="90">
        <v>211287</v>
      </c>
      <c r="D11" s="90">
        <v>405875</v>
      </c>
      <c r="E11" s="90">
        <v>99214</v>
      </c>
      <c r="F11" s="90">
        <v>107650</v>
      </c>
      <c r="G11" s="90">
        <v>206864</v>
      </c>
      <c r="H11" s="90">
        <v>711909</v>
      </c>
      <c r="I11" s="90">
        <v>696562</v>
      </c>
      <c r="J11" s="90">
        <v>1408472</v>
      </c>
      <c r="K11" s="90">
        <v>400198</v>
      </c>
      <c r="L11" s="90">
        <v>422251</v>
      </c>
      <c r="M11" s="90">
        <v>822450</v>
      </c>
      <c r="N11" s="90">
        <v>197186</v>
      </c>
      <c r="O11" s="90">
        <v>192372</v>
      </c>
      <c r="P11" s="90">
        <v>389558</v>
      </c>
      <c r="Q11" s="90">
        <v>200571</v>
      </c>
      <c r="R11" s="90">
        <v>180221</v>
      </c>
      <c r="S11" s="90">
        <v>380792</v>
      </c>
      <c r="T11" s="90">
        <v>49323</v>
      </c>
      <c r="U11" s="90">
        <v>43760</v>
      </c>
      <c r="V11" s="90">
        <v>93083</v>
      </c>
      <c r="W11" s="90">
        <v>163250</v>
      </c>
      <c r="X11" s="90">
        <v>138434</v>
      </c>
      <c r="Y11" s="90">
        <v>301684</v>
      </c>
      <c r="Z11" s="90">
        <v>314250</v>
      </c>
      <c r="AA11" s="90">
        <v>303064</v>
      </c>
      <c r="AB11" s="90">
        <v>617314</v>
      </c>
      <c r="AC11" s="90">
        <v>2330489</v>
      </c>
      <c r="AD11" s="90">
        <v>2295603</v>
      </c>
      <c r="AE11" s="90">
        <v>4626092</v>
      </c>
      <c r="AF11" s="83">
        <f>'MYPE by pop grp age and sex'!P11-'Povincial est by age and sex'!AE11</f>
        <v>0</v>
      </c>
    </row>
    <row r="12" spans="1:32" x14ac:dyDescent="0.3">
      <c r="A12" s="89" t="s">
        <v>33</v>
      </c>
      <c r="B12" s="90">
        <v>154448</v>
      </c>
      <c r="C12" s="90">
        <v>172625</v>
      </c>
      <c r="D12" s="90">
        <v>327073</v>
      </c>
      <c r="E12" s="90">
        <v>75868</v>
      </c>
      <c r="F12" s="90">
        <v>86004</v>
      </c>
      <c r="G12" s="90">
        <v>161872</v>
      </c>
      <c r="H12" s="90">
        <v>552894</v>
      </c>
      <c r="I12" s="90">
        <v>499342</v>
      </c>
      <c r="J12" s="90">
        <v>1052236</v>
      </c>
      <c r="K12" s="90">
        <v>284267</v>
      </c>
      <c r="L12" s="90">
        <v>318524</v>
      </c>
      <c r="M12" s="90">
        <v>602791</v>
      </c>
      <c r="N12" s="90">
        <v>145254</v>
      </c>
      <c r="O12" s="90">
        <v>166031</v>
      </c>
      <c r="P12" s="90">
        <v>311285</v>
      </c>
      <c r="Q12" s="90">
        <v>143865</v>
      </c>
      <c r="R12" s="90">
        <v>138649</v>
      </c>
      <c r="S12" s="90">
        <v>282514</v>
      </c>
      <c r="T12" s="90">
        <v>38109</v>
      </c>
      <c r="U12" s="90">
        <v>34180</v>
      </c>
      <c r="V12" s="90">
        <v>72289</v>
      </c>
      <c r="W12" s="90">
        <v>127191</v>
      </c>
      <c r="X12" s="90">
        <v>109470</v>
      </c>
      <c r="Y12" s="90">
        <v>236660</v>
      </c>
      <c r="Z12" s="90">
        <v>245695</v>
      </c>
      <c r="AA12" s="90">
        <v>237211</v>
      </c>
      <c r="AB12" s="90">
        <v>482906</v>
      </c>
      <c r="AC12" s="90">
        <v>1767591</v>
      </c>
      <c r="AD12" s="90">
        <v>1762035</v>
      </c>
      <c r="AE12" s="90">
        <v>3529626</v>
      </c>
      <c r="AF12" s="83">
        <f>'MYPE by pop grp age and sex'!P12-'Povincial est by age and sex'!AE12</f>
        <v>0</v>
      </c>
    </row>
    <row r="13" spans="1:32" x14ac:dyDescent="0.3">
      <c r="A13" s="89" t="s">
        <v>34</v>
      </c>
      <c r="B13" s="90">
        <v>129990</v>
      </c>
      <c r="C13" s="90">
        <v>164761</v>
      </c>
      <c r="D13" s="90">
        <v>294750</v>
      </c>
      <c r="E13" s="90">
        <v>64407</v>
      </c>
      <c r="F13" s="90">
        <v>78328</v>
      </c>
      <c r="G13" s="90">
        <v>142734</v>
      </c>
      <c r="H13" s="90">
        <v>453471</v>
      </c>
      <c r="I13" s="90">
        <v>391280</v>
      </c>
      <c r="J13" s="90">
        <v>844751</v>
      </c>
      <c r="K13" s="90">
        <v>230295</v>
      </c>
      <c r="L13" s="90">
        <v>278227</v>
      </c>
      <c r="M13" s="90">
        <v>508522</v>
      </c>
      <c r="N13" s="90">
        <v>114283</v>
      </c>
      <c r="O13" s="90">
        <v>148963</v>
      </c>
      <c r="P13" s="90">
        <v>263246</v>
      </c>
      <c r="Q13" s="90">
        <v>110653</v>
      </c>
      <c r="R13" s="90">
        <v>120249</v>
      </c>
      <c r="S13" s="90">
        <v>230901</v>
      </c>
      <c r="T13" s="90">
        <v>31402</v>
      </c>
      <c r="U13" s="90">
        <v>31122</v>
      </c>
      <c r="V13" s="90">
        <v>62524</v>
      </c>
      <c r="W13" s="90">
        <v>101944</v>
      </c>
      <c r="X13" s="90">
        <v>96587</v>
      </c>
      <c r="Y13" s="90">
        <v>198532</v>
      </c>
      <c r="Z13" s="90">
        <v>213396</v>
      </c>
      <c r="AA13" s="90">
        <v>208662</v>
      </c>
      <c r="AB13" s="90">
        <v>422059</v>
      </c>
      <c r="AC13" s="90">
        <v>1449841</v>
      </c>
      <c r="AD13" s="90">
        <v>1518177</v>
      </c>
      <c r="AE13" s="90">
        <v>2968018</v>
      </c>
      <c r="AF13" s="83">
        <f>'MYPE by pop grp age and sex'!P13-'Povincial est by age and sex'!AE13</f>
        <v>0</v>
      </c>
    </row>
    <row r="14" spans="1:32" x14ac:dyDescent="0.3">
      <c r="A14" s="89" t="s">
        <v>35</v>
      </c>
      <c r="B14" s="90">
        <v>102641</v>
      </c>
      <c r="C14" s="90">
        <v>159117</v>
      </c>
      <c r="D14" s="90">
        <v>261757</v>
      </c>
      <c r="E14" s="90">
        <v>52193</v>
      </c>
      <c r="F14" s="90">
        <v>72939</v>
      </c>
      <c r="G14" s="90">
        <v>125132</v>
      </c>
      <c r="H14" s="90">
        <v>338006</v>
      </c>
      <c r="I14" s="90">
        <v>334189</v>
      </c>
      <c r="J14" s="90">
        <v>672195</v>
      </c>
      <c r="K14" s="90">
        <v>166092</v>
      </c>
      <c r="L14" s="90">
        <v>245857</v>
      </c>
      <c r="M14" s="90">
        <v>411948</v>
      </c>
      <c r="N14" s="90">
        <v>86065</v>
      </c>
      <c r="O14" s="90">
        <v>129047</v>
      </c>
      <c r="P14" s="90">
        <v>215112</v>
      </c>
      <c r="Q14" s="90">
        <v>81985</v>
      </c>
      <c r="R14" s="90">
        <v>104359</v>
      </c>
      <c r="S14" s="90">
        <v>186344</v>
      </c>
      <c r="T14" s="90">
        <v>24735</v>
      </c>
      <c r="U14" s="90">
        <v>29196</v>
      </c>
      <c r="V14" s="90">
        <v>53932</v>
      </c>
      <c r="W14" s="90">
        <v>80513</v>
      </c>
      <c r="X14" s="90">
        <v>84356</v>
      </c>
      <c r="Y14" s="90">
        <v>164868</v>
      </c>
      <c r="Z14" s="90">
        <v>172470</v>
      </c>
      <c r="AA14" s="90">
        <v>195462</v>
      </c>
      <c r="AB14" s="90">
        <v>367932</v>
      </c>
      <c r="AC14" s="90">
        <v>1104699</v>
      </c>
      <c r="AD14" s="90">
        <v>1354521</v>
      </c>
      <c r="AE14" s="90">
        <v>2459220</v>
      </c>
      <c r="AF14" s="83">
        <f>'MYPE by pop grp age and sex'!P14-'Povincial est by age and sex'!AE14</f>
        <v>0</v>
      </c>
    </row>
    <row r="15" spans="1:32" x14ac:dyDescent="0.3">
      <c r="A15" s="89" t="s">
        <v>36</v>
      </c>
      <c r="B15" s="90">
        <v>89811</v>
      </c>
      <c r="C15" s="90">
        <v>157523</v>
      </c>
      <c r="D15" s="90">
        <v>247334</v>
      </c>
      <c r="E15" s="90">
        <v>44122</v>
      </c>
      <c r="F15" s="90">
        <v>65521</v>
      </c>
      <c r="G15" s="90">
        <v>109643</v>
      </c>
      <c r="H15" s="90">
        <v>273499</v>
      </c>
      <c r="I15" s="90">
        <v>290290</v>
      </c>
      <c r="J15" s="90">
        <v>563789</v>
      </c>
      <c r="K15" s="90">
        <v>138356</v>
      </c>
      <c r="L15" s="90">
        <v>231017</v>
      </c>
      <c r="M15" s="90">
        <v>369373</v>
      </c>
      <c r="N15" s="90">
        <v>67739</v>
      </c>
      <c r="O15" s="90">
        <v>121125</v>
      </c>
      <c r="P15" s="90">
        <v>188864</v>
      </c>
      <c r="Q15" s="90">
        <v>66566</v>
      </c>
      <c r="R15" s="90">
        <v>90426</v>
      </c>
      <c r="S15" s="90">
        <v>156992</v>
      </c>
      <c r="T15" s="90">
        <v>19694</v>
      </c>
      <c r="U15" s="90">
        <v>26185</v>
      </c>
      <c r="V15" s="90">
        <v>45879</v>
      </c>
      <c r="W15" s="90">
        <v>67668</v>
      </c>
      <c r="X15" s="90">
        <v>73621</v>
      </c>
      <c r="Y15" s="90">
        <v>141289</v>
      </c>
      <c r="Z15" s="90">
        <v>140152</v>
      </c>
      <c r="AA15" s="90">
        <v>171565</v>
      </c>
      <c r="AB15" s="90">
        <v>311716</v>
      </c>
      <c r="AC15" s="90">
        <v>907605</v>
      </c>
      <c r="AD15" s="90">
        <v>1227274</v>
      </c>
      <c r="AE15" s="90">
        <v>2134879</v>
      </c>
      <c r="AF15" s="83">
        <f>'MYPE by pop grp age and sex'!P15-'Povincial est by age and sex'!AE15</f>
        <v>0</v>
      </c>
    </row>
    <row r="16" spans="1:32" x14ac:dyDescent="0.3">
      <c r="A16" s="89" t="s">
        <v>37</v>
      </c>
      <c r="B16" s="90">
        <v>75108</v>
      </c>
      <c r="C16" s="90">
        <v>142988</v>
      </c>
      <c r="D16" s="90">
        <v>218096</v>
      </c>
      <c r="E16" s="90">
        <v>34100</v>
      </c>
      <c r="F16" s="90">
        <v>53910</v>
      </c>
      <c r="G16" s="90">
        <v>88010</v>
      </c>
      <c r="H16" s="90">
        <v>207617</v>
      </c>
      <c r="I16" s="90">
        <v>236015</v>
      </c>
      <c r="J16" s="90">
        <v>443632</v>
      </c>
      <c r="K16" s="90">
        <v>103804</v>
      </c>
      <c r="L16" s="90">
        <v>187507</v>
      </c>
      <c r="M16" s="90">
        <v>291312</v>
      </c>
      <c r="N16" s="90">
        <v>49810</v>
      </c>
      <c r="O16" s="90">
        <v>99709</v>
      </c>
      <c r="P16" s="90">
        <v>149519</v>
      </c>
      <c r="Q16" s="90">
        <v>48334</v>
      </c>
      <c r="R16" s="90">
        <v>68393</v>
      </c>
      <c r="S16" s="90">
        <v>116727</v>
      </c>
      <c r="T16" s="90">
        <v>15576</v>
      </c>
      <c r="U16" s="90">
        <v>22363</v>
      </c>
      <c r="V16" s="90">
        <v>37939</v>
      </c>
      <c r="W16" s="90">
        <v>50132</v>
      </c>
      <c r="X16" s="90">
        <v>59488</v>
      </c>
      <c r="Y16" s="90">
        <v>109619</v>
      </c>
      <c r="Z16" s="90">
        <v>105023</v>
      </c>
      <c r="AA16" s="90">
        <v>139019</v>
      </c>
      <c r="AB16" s="90">
        <v>244042</v>
      </c>
      <c r="AC16" s="90">
        <v>689505</v>
      </c>
      <c r="AD16" s="90">
        <v>1009392</v>
      </c>
      <c r="AE16" s="90">
        <v>1698897</v>
      </c>
      <c r="AF16" s="83">
        <f>'MYPE by pop grp age and sex'!P16-'Povincial est by age and sex'!AE16</f>
        <v>0</v>
      </c>
    </row>
    <row r="17" spans="1:32" x14ac:dyDescent="0.3">
      <c r="A17" s="89" t="s">
        <v>38</v>
      </c>
      <c r="B17" s="90">
        <v>56566</v>
      </c>
      <c r="C17" s="90">
        <v>110257</v>
      </c>
      <c r="D17" s="90">
        <v>166823</v>
      </c>
      <c r="E17" s="90">
        <v>23841</v>
      </c>
      <c r="F17" s="90">
        <v>42838</v>
      </c>
      <c r="G17" s="90">
        <v>66679</v>
      </c>
      <c r="H17" s="90">
        <v>142013</v>
      </c>
      <c r="I17" s="90">
        <v>174003</v>
      </c>
      <c r="J17" s="90">
        <v>316015</v>
      </c>
      <c r="K17" s="90">
        <v>74777</v>
      </c>
      <c r="L17" s="90">
        <v>142664</v>
      </c>
      <c r="M17" s="90">
        <v>217441</v>
      </c>
      <c r="N17" s="90">
        <v>36084</v>
      </c>
      <c r="O17" s="90">
        <v>82884</v>
      </c>
      <c r="P17" s="90">
        <v>118968</v>
      </c>
      <c r="Q17" s="90">
        <v>34263</v>
      </c>
      <c r="R17" s="90">
        <v>53593</v>
      </c>
      <c r="S17" s="90">
        <v>87856</v>
      </c>
      <c r="T17" s="90">
        <v>11349</v>
      </c>
      <c r="U17" s="90">
        <v>18206</v>
      </c>
      <c r="V17" s="90">
        <v>29554</v>
      </c>
      <c r="W17" s="90">
        <v>30044</v>
      </c>
      <c r="X17" s="90">
        <v>44908</v>
      </c>
      <c r="Y17" s="90">
        <v>74952</v>
      </c>
      <c r="Z17" s="90">
        <v>74445</v>
      </c>
      <c r="AA17" s="90">
        <v>100664</v>
      </c>
      <c r="AB17" s="90">
        <v>175109</v>
      </c>
      <c r="AC17" s="90">
        <v>483382</v>
      </c>
      <c r="AD17" s="90">
        <v>770016</v>
      </c>
      <c r="AE17" s="90">
        <v>1253398</v>
      </c>
      <c r="AF17" s="83">
        <f>'MYPE by pop grp age and sex'!P17-'Povincial est by age and sex'!AE17</f>
        <v>0</v>
      </c>
    </row>
    <row r="18" spans="1:32" x14ac:dyDescent="0.3">
      <c r="A18" s="89" t="s">
        <v>39</v>
      </c>
      <c r="B18" s="90">
        <v>37940</v>
      </c>
      <c r="C18" s="90">
        <v>78630</v>
      </c>
      <c r="D18" s="90">
        <v>116571</v>
      </c>
      <c r="E18" s="90">
        <v>13183</v>
      </c>
      <c r="F18" s="90">
        <v>28191</v>
      </c>
      <c r="G18" s="90">
        <v>41374</v>
      </c>
      <c r="H18" s="90">
        <v>83075</v>
      </c>
      <c r="I18" s="90">
        <v>112839</v>
      </c>
      <c r="J18" s="90">
        <v>195914</v>
      </c>
      <c r="K18" s="90">
        <v>45461</v>
      </c>
      <c r="L18" s="90">
        <v>100616</v>
      </c>
      <c r="M18" s="90">
        <v>146077</v>
      </c>
      <c r="N18" s="90">
        <v>21087</v>
      </c>
      <c r="O18" s="90">
        <v>55298</v>
      </c>
      <c r="P18" s="90">
        <v>76385</v>
      </c>
      <c r="Q18" s="90">
        <v>18829</v>
      </c>
      <c r="R18" s="90">
        <v>32973</v>
      </c>
      <c r="S18" s="90">
        <v>51802</v>
      </c>
      <c r="T18" s="90">
        <v>6790</v>
      </c>
      <c r="U18" s="90">
        <v>12858</v>
      </c>
      <c r="V18" s="90">
        <v>19648</v>
      </c>
      <c r="W18" s="90">
        <v>16282</v>
      </c>
      <c r="X18" s="90">
        <v>29583</v>
      </c>
      <c r="Y18" s="90">
        <v>45865</v>
      </c>
      <c r="Z18" s="90">
        <v>47848</v>
      </c>
      <c r="AA18" s="90">
        <v>71380</v>
      </c>
      <c r="AB18" s="90">
        <v>119228</v>
      </c>
      <c r="AC18" s="90">
        <v>290495</v>
      </c>
      <c r="AD18" s="90">
        <v>522369</v>
      </c>
      <c r="AE18" s="90">
        <v>812864</v>
      </c>
      <c r="AF18" s="83">
        <f>'MYPE by pop grp age and sex'!P18-'Povincial est by age and sex'!AE18</f>
        <v>0</v>
      </c>
    </row>
    <row r="19" spans="1:32" x14ac:dyDescent="0.3">
      <c r="A19" s="89" t="s">
        <v>40</v>
      </c>
      <c r="B19" s="90">
        <v>56626</v>
      </c>
      <c r="C19" s="90">
        <v>112072</v>
      </c>
      <c r="D19" s="90">
        <v>168699</v>
      </c>
      <c r="E19" s="90">
        <v>7922</v>
      </c>
      <c r="F19" s="90">
        <v>25014</v>
      </c>
      <c r="G19" s="90">
        <v>32936</v>
      </c>
      <c r="H19" s="90">
        <v>43860</v>
      </c>
      <c r="I19" s="90">
        <v>77232</v>
      </c>
      <c r="J19" s="90">
        <v>121091</v>
      </c>
      <c r="K19" s="90">
        <v>30638</v>
      </c>
      <c r="L19" s="90">
        <v>72970</v>
      </c>
      <c r="M19" s="90">
        <v>103608</v>
      </c>
      <c r="N19" s="90">
        <v>18756</v>
      </c>
      <c r="O19" s="90">
        <v>62614</v>
      </c>
      <c r="P19" s="90">
        <v>81370</v>
      </c>
      <c r="Q19" s="90">
        <v>15927</v>
      </c>
      <c r="R19" s="90">
        <v>35546</v>
      </c>
      <c r="S19" s="90">
        <v>51472</v>
      </c>
      <c r="T19" s="90">
        <v>5358</v>
      </c>
      <c r="U19" s="90">
        <v>14868</v>
      </c>
      <c r="V19" s="90">
        <v>20225</v>
      </c>
      <c r="W19" s="90">
        <v>6898</v>
      </c>
      <c r="X19" s="90">
        <v>30498</v>
      </c>
      <c r="Y19" s="90">
        <v>37396</v>
      </c>
      <c r="Z19" s="90">
        <v>37049</v>
      </c>
      <c r="AA19" s="90">
        <v>51201</v>
      </c>
      <c r="AB19" s="90">
        <v>88250</v>
      </c>
      <c r="AC19" s="90">
        <v>223034</v>
      </c>
      <c r="AD19" s="90">
        <v>482014</v>
      </c>
      <c r="AE19" s="90">
        <v>705048</v>
      </c>
      <c r="AF19" s="83">
        <f>'MYPE by pop grp age and sex'!P19-'Povincial est by age and sex'!AE19</f>
        <v>0</v>
      </c>
    </row>
    <row r="20" spans="1:32" x14ac:dyDescent="0.3">
      <c r="A20" s="89" t="s">
        <v>9</v>
      </c>
      <c r="B20" s="90">
        <v>3293541</v>
      </c>
      <c r="C20" s="90">
        <v>3797247</v>
      </c>
      <c r="D20" s="90">
        <v>7090788</v>
      </c>
      <c r="E20" s="90">
        <v>1426903</v>
      </c>
      <c r="F20" s="90">
        <v>1612930</v>
      </c>
      <c r="G20" s="90">
        <v>3039834</v>
      </c>
      <c r="H20" s="90">
        <v>8136465</v>
      </c>
      <c r="I20" s="90">
        <v>7968469</v>
      </c>
      <c r="J20" s="90">
        <v>16104933</v>
      </c>
      <c r="K20" s="90">
        <v>5851546</v>
      </c>
      <c r="L20" s="90">
        <v>6380702</v>
      </c>
      <c r="M20" s="90">
        <v>12232247</v>
      </c>
      <c r="N20" s="90">
        <v>3044504</v>
      </c>
      <c r="O20" s="90">
        <v>3321688</v>
      </c>
      <c r="P20" s="90">
        <v>6366192</v>
      </c>
      <c r="Q20" s="90">
        <v>2507173</v>
      </c>
      <c r="R20" s="90">
        <v>2568960</v>
      </c>
      <c r="S20" s="90">
        <v>5076133</v>
      </c>
      <c r="T20" s="90">
        <v>682131</v>
      </c>
      <c r="U20" s="90">
        <v>697052</v>
      </c>
      <c r="V20" s="90">
        <v>1379183</v>
      </c>
      <c r="W20" s="90">
        <v>2126796</v>
      </c>
      <c r="X20" s="90">
        <v>2057151</v>
      </c>
      <c r="Y20" s="90">
        <v>4183947</v>
      </c>
      <c r="Z20" s="90">
        <v>3803047</v>
      </c>
      <c r="AA20" s="90">
        <v>3824641</v>
      </c>
      <c r="AB20" s="90">
        <v>7627688</v>
      </c>
      <c r="AC20" s="90">
        <v>30872106</v>
      </c>
      <c r="AD20" s="90">
        <v>32228839</v>
      </c>
      <c r="AE20" s="90">
        <v>63100945</v>
      </c>
      <c r="AF20" s="83">
        <f>'MYPE by pop grp age and sex'!P20-'Povincial est by age and sex'!AE20</f>
        <v>0</v>
      </c>
    </row>
    <row r="21" spans="1:32" x14ac:dyDescent="0.3">
      <c r="A21" s="91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3">
        <f>'MYPE by pop grp age and sex'!N20-'Povincial est by age and sex'!AC20</f>
        <v>0</v>
      </c>
      <c r="AD21" s="83">
        <f>'MYPE by pop grp age and sex'!O20-'Povincial est by age and sex'!AD20</f>
        <v>0</v>
      </c>
      <c r="AE21" s="83">
        <f>'MYPE by pop grp age and sex'!P20-'Povincial est by age and sex'!AE20</f>
        <v>0</v>
      </c>
    </row>
    <row r="22" spans="1:32" x14ac:dyDescent="0.3">
      <c r="A22" s="92" t="s">
        <v>99</v>
      </c>
      <c r="B22" s="80" t="str">
        <f>B1</f>
        <v>EC</v>
      </c>
      <c r="D22" s="86"/>
      <c r="E22" s="80" t="str">
        <f t="shared" ref="E22:AC22" si="0">E1</f>
        <v>FS</v>
      </c>
      <c r="H22" s="80" t="str">
        <f t="shared" si="0"/>
        <v>GP</v>
      </c>
      <c r="K22" s="80" t="str">
        <f t="shared" si="0"/>
        <v>KZN</v>
      </c>
      <c r="N22" s="80" t="str">
        <f t="shared" si="0"/>
        <v>LIM</v>
      </c>
      <c r="Q22" s="80" t="str">
        <f t="shared" si="0"/>
        <v>MP</v>
      </c>
      <c r="T22" s="80" t="str">
        <f t="shared" si="0"/>
        <v>NC</v>
      </c>
      <c r="W22" s="80" t="str">
        <f t="shared" si="0"/>
        <v>NW</v>
      </c>
      <c r="Z22" s="80" t="str">
        <f t="shared" si="0"/>
        <v>WC</v>
      </c>
      <c r="AC22" s="80" t="str">
        <f t="shared" si="0"/>
        <v>RSA</v>
      </c>
    </row>
    <row r="23" spans="1:32" x14ac:dyDescent="0.3">
      <c r="B23" s="80" t="str">
        <f>B2</f>
        <v>Male</v>
      </c>
      <c r="C23" s="80" t="str">
        <f t="shared" ref="C23:AE23" si="1">C2</f>
        <v>Female</v>
      </c>
      <c r="D23" s="80" t="str">
        <f t="shared" si="1"/>
        <v>Total</v>
      </c>
      <c r="E23" s="80" t="str">
        <f t="shared" si="1"/>
        <v>Male</v>
      </c>
      <c r="F23" s="80" t="str">
        <f t="shared" si="1"/>
        <v>Female</v>
      </c>
      <c r="G23" s="80" t="str">
        <f t="shared" si="1"/>
        <v>Total</v>
      </c>
      <c r="H23" s="80" t="str">
        <f t="shared" si="1"/>
        <v>Male</v>
      </c>
      <c r="I23" s="80" t="str">
        <f t="shared" si="1"/>
        <v>Female</v>
      </c>
      <c r="J23" s="80" t="str">
        <f t="shared" si="1"/>
        <v>Total</v>
      </c>
      <c r="K23" s="80" t="str">
        <f t="shared" si="1"/>
        <v>Male</v>
      </c>
      <c r="L23" s="80" t="str">
        <f t="shared" si="1"/>
        <v>Female</v>
      </c>
      <c r="M23" s="80" t="str">
        <f t="shared" si="1"/>
        <v>Total</v>
      </c>
      <c r="N23" s="80" t="str">
        <f t="shared" si="1"/>
        <v>Male</v>
      </c>
      <c r="O23" s="80" t="str">
        <f t="shared" si="1"/>
        <v>Female</v>
      </c>
      <c r="P23" s="80" t="str">
        <f t="shared" si="1"/>
        <v>Total</v>
      </c>
      <c r="Q23" s="80" t="str">
        <f t="shared" si="1"/>
        <v>Male</v>
      </c>
      <c r="R23" s="80" t="str">
        <f t="shared" si="1"/>
        <v>Female</v>
      </c>
      <c r="S23" s="80" t="str">
        <f t="shared" si="1"/>
        <v>Total</v>
      </c>
      <c r="T23" s="80" t="str">
        <f t="shared" si="1"/>
        <v>Male</v>
      </c>
      <c r="U23" s="80" t="str">
        <f t="shared" si="1"/>
        <v>Female</v>
      </c>
      <c r="V23" s="80" t="str">
        <f t="shared" si="1"/>
        <v>Total</v>
      </c>
      <c r="W23" s="80" t="str">
        <f t="shared" si="1"/>
        <v>Male</v>
      </c>
      <c r="X23" s="80" t="str">
        <f t="shared" si="1"/>
        <v>Female</v>
      </c>
      <c r="Y23" s="80" t="str">
        <f t="shared" si="1"/>
        <v>Total</v>
      </c>
      <c r="Z23" s="80" t="str">
        <f t="shared" si="1"/>
        <v>Male</v>
      </c>
      <c r="AA23" s="80" t="str">
        <f t="shared" si="1"/>
        <v>Female</v>
      </c>
      <c r="AB23" s="80" t="str">
        <f t="shared" si="1"/>
        <v>Total</v>
      </c>
      <c r="AC23" s="80" t="str">
        <f t="shared" si="1"/>
        <v>Male</v>
      </c>
      <c r="AD23" s="80" t="str">
        <f t="shared" si="1"/>
        <v>Female</v>
      </c>
      <c r="AE23" s="80" t="str">
        <f t="shared" si="1"/>
        <v>Total</v>
      </c>
    </row>
    <row r="24" spans="1:32" x14ac:dyDescent="0.3">
      <c r="A24" s="92" t="str">
        <f>A3</f>
        <v>0-4</v>
      </c>
      <c r="B24" s="83">
        <f>ROUND(B3/1000,1)</f>
        <v>353.3</v>
      </c>
      <c r="C24" s="83">
        <f t="shared" ref="C24:AE33" si="2">ROUND(C3/1000,1)</f>
        <v>347.6</v>
      </c>
      <c r="D24" s="83">
        <f t="shared" si="2"/>
        <v>701</v>
      </c>
      <c r="E24" s="83">
        <f t="shared" si="2"/>
        <v>134.9</v>
      </c>
      <c r="F24" s="83">
        <f t="shared" si="2"/>
        <v>133.80000000000001</v>
      </c>
      <c r="G24" s="83">
        <f t="shared" si="2"/>
        <v>268.60000000000002</v>
      </c>
      <c r="H24" s="83">
        <f t="shared" si="2"/>
        <v>597.1</v>
      </c>
      <c r="I24" s="83">
        <f t="shared" si="2"/>
        <v>581.70000000000005</v>
      </c>
      <c r="J24" s="83">
        <f t="shared" si="2"/>
        <v>1178.8</v>
      </c>
      <c r="K24" s="83">
        <f t="shared" si="2"/>
        <v>601.20000000000005</v>
      </c>
      <c r="L24" s="83">
        <f t="shared" si="2"/>
        <v>585.29999999999995</v>
      </c>
      <c r="M24" s="83">
        <f t="shared" si="2"/>
        <v>1186.5</v>
      </c>
      <c r="N24" s="83">
        <f t="shared" si="2"/>
        <v>343.7</v>
      </c>
      <c r="O24" s="83">
        <f t="shared" si="2"/>
        <v>335</v>
      </c>
      <c r="P24" s="83">
        <f t="shared" si="2"/>
        <v>678.7</v>
      </c>
      <c r="Q24" s="83">
        <f t="shared" si="2"/>
        <v>231.1</v>
      </c>
      <c r="R24" s="83">
        <f t="shared" si="2"/>
        <v>226.5</v>
      </c>
      <c r="S24" s="83">
        <f t="shared" si="2"/>
        <v>457.5</v>
      </c>
      <c r="T24" s="83">
        <f t="shared" si="2"/>
        <v>66.7</v>
      </c>
      <c r="U24" s="83">
        <f t="shared" si="2"/>
        <v>65.5</v>
      </c>
      <c r="V24" s="83">
        <f t="shared" si="2"/>
        <v>132.30000000000001</v>
      </c>
      <c r="W24" s="83">
        <f t="shared" si="2"/>
        <v>190</v>
      </c>
      <c r="X24" s="83">
        <f t="shared" si="2"/>
        <v>185.5</v>
      </c>
      <c r="Y24" s="83">
        <f t="shared" si="2"/>
        <v>375.5</v>
      </c>
      <c r="Z24" s="83">
        <f t="shared" si="2"/>
        <v>272</v>
      </c>
      <c r="AA24" s="83">
        <f t="shared" si="2"/>
        <v>262.10000000000002</v>
      </c>
      <c r="AB24" s="83">
        <f t="shared" si="2"/>
        <v>534.1</v>
      </c>
      <c r="AC24" s="83">
        <f t="shared" si="2"/>
        <v>2790.1</v>
      </c>
      <c r="AD24" s="83">
        <f t="shared" si="2"/>
        <v>2722.9</v>
      </c>
      <c r="AE24" s="83">
        <f t="shared" si="2"/>
        <v>5513</v>
      </c>
    </row>
    <row r="25" spans="1:32" x14ac:dyDescent="0.3">
      <c r="A25" s="92" t="str">
        <f t="shared" ref="A25:A40" si="3">A4</f>
        <v>5-9</v>
      </c>
      <c r="B25" s="83">
        <f t="shared" ref="B25:Q41" si="4">ROUND(B4/1000,1)</f>
        <v>353.6</v>
      </c>
      <c r="C25" s="83">
        <f t="shared" si="4"/>
        <v>349.7</v>
      </c>
      <c r="D25" s="83">
        <f t="shared" si="4"/>
        <v>703.3</v>
      </c>
      <c r="E25" s="83">
        <f t="shared" si="4"/>
        <v>130</v>
      </c>
      <c r="F25" s="83">
        <f t="shared" si="4"/>
        <v>130.1</v>
      </c>
      <c r="G25" s="83">
        <f t="shared" si="4"/>
        <v>260.2</v>
      </c>
      <c r="H25" s="83">
        <f t="shared" si="4"/>
        <v>590.4</v>
      </c>
      <c r="I25" s="83">
        <f t="shared" si="4"/>
        <v>573.20000000000005</v>
      </c>
      <c r="J25" s="83">
        <f t="shared" si="4"/>
        <v>1163.5999999999999</v>
      </c>
      <c r="K25" s="83">
        <f t="shared" si="4"/>
        <v>580.1</v>
      </c>
      <c r="L25" s="83">
        <f t="shared" si="4"/>
        <v>564.79999999999995</v>
      </c>
      <c r="M25" s="83">
        <f t="shared" si="4"/>
        <v>1144.9000000000001</v>
      </c>
      <c r="N25" s="83">
        <f t="shared" si="4"/>
        <v>338.8</v>
      </c>
      <c r="O25" s="83">
        <f t="shared" si="4"/>
        <v>330.2</v>
      </c>
      <c r="P25" s="83">
        <f t="shared" si="4"/>
        <v>669</v>
      </c>
      <c r="Q25" s="83">
        <f t="shared" si="4"/>
        <v>219.5</v>
      </c>
      <c r="R25" s="83">
        <f t="shared" si="2"/>
        <v>216.2</v>
      </c>
      <c r="S25" s="83">
        <f t="shared" si="2"/>
        <v>435.6</v>
      </c>
      <c r="T25" s="83">
        <f t="shared" si="2"/>
        <v>63.8</v>
      </c>
      <c r="U25" s="83">
        <f t="shared" si="2"/>
        <v>63.1</v>
      </c>
      <c r="V25" s="83">
        <f t="shared" si="2"/>
        <v>126.9</v>
      </c>
      <c r="W25" s="83">
        <f t="shared" si="2"/>
        <v>182.2</v>
      </c>
      <c r="X25" s="83">
        <f t="shared" si="2"/>
        <v>176.6</v>
      </c>
      <c r="Y25" s="83">
        <f t="shared" si="2"/>
        <v>358.8</v>
      </c>
      <c r="Z25" s="83">
        <f t="shared" si="2"/>
        <v>271.8</v>
      </c>
      <c r="AA25" s="83">
        <f t="shared" si="2"/>
        <v>261.5</v>
      </c>
      <c r="AB25" s="83">
        <f t="shared" si="2"/>
        <v>533.29999999999995</v>
      </c>
      <c r="AC25" s="83">
        <f t="shared" si="2"/>
        <v>2730.3</v>
      </c>
      <c r="AD25" s="83">
        <f t="shared" si="2"/>
        <v>2665.3</v>
      </c>
      <c r="AE25" s="83">
        <f t="shared" si="2"/>
        <v>5395.5</v>
      </c>
    </row>
    <row r="26" spans="1:32" x14ac:dyDescent="0.3">
      <c r="A26" s="92" t="str">
        <f t="shared" si="3"/>
        <v>10-14</v>
      </c>
      <c r="B26" s="83">
        <f t="shared" si="4"/>
        <v>371.2</v>
      </c>
      <c r="C26" s="83">
        <f t="shared" si="2"/>
        <v>367.8</v>
      </c>
      <c r="D26" s="83">
        <f t="shared" si="2"/>
        <v>739</v>
      </c>
      <c r="E26" s="83">
        <f t="shared" si="2"/>
        <v>136.4</v>
      </c>
      <c r="F26" s="83">
        <f t="shared" si="2"/>
        <v>138.30000000000001</v>
      </c>
      <c r="G26" s="83">
        <f t="shared" si="2"/>
        <v>274.7</v>
      </c>
      <c r="H26" s="83">
        <f t="shared" si="2"/>
        <v>606.29999999999995</v>
      </c>
      <c r="I26" s="83">
        <f t="shared" si="2"/>
        <v>590.79999999999995</v>
      </c>
      <c r="J26" s="83">
        <f t="shared" si="2"/>
        <v>1197.0999999999999</v>
      </c>
      <c r="K26" s="83">
        <f t="shared" si="2"/>
        <v>597.1</v>
      </c>
      <c r="L26" s="83">
        <f t="shared" si="2"/>
        <v>584.20000000000005</v>
      </c>
      <c r="M26" s="83">
        <f t="shared" si="2"/>
        <v>1181.2</v>
      </c>
      <c r="N26" s="83">
        <f t="shared" si="2"/>
        <v>341.2</v>
      </c>
      <c r="O26" s="83">
        <f t="shared" si="2"/>
        <v>332.4</v>
      </c>
      <c r="P26" s="83">
        <f t="shared" si="2"/>
        <v>673.5</v>
      </c>
      <c r="Q26" s="83">
        <f t="shared" si="2"/>
        <v>227.7</v>
      </c>
      <c r="R26" s="83">
        <f t="shared" si="2"/>
        <v>225.5</v>
      </c>
      <c r="S26" s="83">
        <f t="shared" si="2"/>
        <v>453.2</v>
      </c>
      <c r="T26" s="83">
        <f t="shared" si="2"/>
        <v>63.9</v>
      </c>
      <c r="U26" s="83">
        <f t="shared" si="2"/>
        <v>63.5</v>
      </c>
      <c r="V26" s="83">
        <f t="shared" si="2"/>
        <v>127.4</v>
      </c>
      <c r="W26" s="83">
        <f t="shared" si="2"/>
        <v>191.4</v>
      </c>
      <c r="X26" s="83">
        <f t="shared" si="2"/>
        <v>186.9</v>
      </c>
      <c r="Y26" s="83">
        <f t="shared" si="2"/>
        <v>378.3</v>
      </c>
      <c r="Z26" s="83">
        <f t="shared" si="2"/>
        <v>296.10000000000002</v>
      </c>
      <c r="AA26" s="83">
        <f t="shared" si="2"/>
        <v>286.3</v>
      </c>
      <c r="AB26" s="83">
        <f t="shared" si="2"/>
        <v>582.5</v>
      </c>
      <c r="AC26" s="83">
        <f t="shared" si="2"/>
        <v>2831.3</v>
      </c>
      <c r="AD26" s="83">
        <f t="shared" si="2"/>
        <v>2775.7</v>
      </c>
      <c r="AE26" s="83">
        <f t="shared" si="2"/>
        <v>5607</v>
      </c>
    </row>
    <row r="27" spans="1:32" x14ac:dyDescent="0.3">
      <c r="A27" s="92" t="str">
        <f t="shared" si="3"/>
        <v>15-19</v>
      </c>
      <c r="B27" s="83">
        <f t="shared" si="4"/>
        <v>344.5</v>
      </c>
      <c r="C27" s="83">
        <f t="shared" si="2"/>
        <v>346.4</v>
      </c>
      <c r="D27" s="83">
        <f t="shared" si="2"/>
        <v>690.9</v>
      </c>
      <c r="E27" s="83">
        <f t="shared" si="2"/>
        <v>138.5</v>
      </c>
      <c r="F27" s="83">
        <f t="shared" si="2"/>
        <v>144.1</v>
      </c>
      <c r="G27" s="83">
        <f t="shared" si="2"/>
        <v>282.60000000000002</v>
      </c>
      <c r="H27" s="83">
        <f t="shared" si="2"/>
        <v>613.6</v>
      </c>
      <c r="I27" s="83">
        <f t="shared" si="2"/>
        <v>602.70000000000005</v>
      </c>
      <c r="J27" s="83">
        <f t="shared" si="2"/>
        <v>1216.3</v>
      </c>
      <c r="K27" s="83">
        <f t="shared" si="2"/>
        <v>573.6</v>
      </c>
      <c r="L27" s="83">
        <f t="shared" si="2"/>
        <v>568.6</v>
      </c>
      <c r="M27" s="83">
        <f t="shared" si="2"/>
        <v>1142.0999999999999</v>
      </c>
      <c r="N27" s="83">
        <f t="shared" si="2"/>
        <v>312.8</v>
      </c>
      <c r="O27" s="83">
        <f t="shared" si="2"/>
        <v>301.8</v>
      </c>
      <c r="P27" s="83">
        <f t="shared" si="2"/>
        <v>614.6</v>
      </c>
      <c r="Q27" s="83">
        <f t="shared" si="2"/>
        <v>228.4</v>
      </c>
      <c r="R27" s="83">
        <f t="shared" si="2"/>
        <v>227.3</v>
      </c>
      <c r="S27" s="83">
        <f t="shared" si="2"/>
        <v>455.7</v>
      </c>
      <c r="T27" s="83">
        <f t="shared" si="2"/>
        <v>60.9</v>
      </c>
      <c r="U27" s="83">
        <f t="shared" si="2"/>
        <v>60.1</v>
      </c>
      <c r="V27" s="83">
        <f t="shared" si="2"/>
        <v>121</v>
      </c>
      <c r="W27" s="83">
        <f t="shared" si="2"/>
        <v>189.6</v>
      </c>
      <c r="X27" s="83">
        <f t="shared" si="2"/>
        <v>186</v>
      </c>
      <c r="Y27" s="83">
        <f t="shared" si="2"/>
        <v>375.6</v>
      </c>
      <c r="Z27" s="83">
        <f t="shared" si="2"/>
        <v>305.60000000000002</v>
      </c>
      <c r="AA27" s="83">
        <f t="shared" si="2"/>
        <v>295.89999999999998</v>
      </c>
      <c r="AB27" s="83">
        <f t="shared" si="2"/>
        <v>601.5</v>
      </c>
      <c r="AC27" s="83">
        <f t="shared" si="2"/>
        <v>2767.4</v>
      </c>
      <c r="AD27" s="83">
        <f t="shared" si="2"/>
        <v>2732.8</v>
      </c>
      <c r="AE27" s="83">
        <f t="shared" si="2"/>
        <v>5500.2</v>
      </c>
    </row>
    <row r="28" spans="1:32" x14ac:dyDescent="0.3">
      <c r="A28" s="92" t="str">
        <f t="shared" si="3"/>
        <v>20-24</v>
      </c>
      <c r="B28" s="83">
        <f t="shared" si="4"/>
        <v>251</v>
      </c>
      <c r="C28" s="83">
        <f t="shared" si="2"/>
        <v>270.5</v>
      </c>
      <c r="D28" s="83">
        <f t="shared" si="2"/>
        <v>521.5</v>
      </c>
      <c r="E28" s="83">
        <f t="shared" si="2"/>
        <v>116.7</v>
      </c>
      <c r="F28" s="83">
        <f t="shared" si="2"/>
        <v>124.5</v>
      </c>
      <c r="G28" s="83">
        <f t="shared" si="2"/>
        <v>241.2</v>
      </c>
      <c r="H28" s="83">
        <f t="shared" si="2"/>
        <v>607.20000000000005</v>
      </c>
      <c r="I28" s="83">
        <f t="shared" si="2"/>
        <v>582</v>
      </c>
      <c r="J28" s="83">
        <f t="shared" si="2"/>
        <v>1189.2</v>
      </c>
      <c r="K28" s="83">
        <f t="shared" si="2"/>
        <v>481.2</v>
      </c>
      <c r="L28" s="83">
        <f t="shared" si="2"/>
        <v>488.8</v>
      </c>
      <c r="M28" s="83">
        <f t="shared" si="2"/>
        <v>969.9</v>
      </c>
      <c r="N28" s="83">
        <f t="shared" si="2"/>
        <v>246</v>
      </c>
      <c r="O28" s="83">
        <f t="shared" si="2"/>
        <v>241.1</v>
      </c>
      <c r="P28" s="83">
        <f t="shared" si="2"/>
        <v>487</v>
      </c>
      <c r="Q28" s="83">
        <f t="shared" si="2"/>
        <v>194.9</v>
      </c>
      <c r="R28" s="83">
        <f t="shared" si="2"/>
        <v>194.1</v>
      </c>
      <c r="S28" s="83">
        <f t="shared" si="2"/>
        <v>389</v>
      </c>
      <c r="T28" s="83">
        <f t="shared" si="2"/>
        <v>54</v>
      </c>
      <c r="U28" s="83">
        <f t="shared" si="2"/>
        <v>52</v>
      </c>
      <c r="V28" s="83">
        <f t="shared" si="2"/>
        <v>106.1</v>
      </c>
      <c r="W28" s="83">
        <f t="shared" si="2"/>
        <v>167.8</v>
      </c>
      <c r="X28" s="83">
        <f t="shared" si="2"/>
        <v>159.4</v>
      </c>
      <c r="Y28" s="83">
        <f t="shared" si="2"/>
        <v>327.2</v>
      </c>
      <c r="Z28" s="83">
        <f t="shared" si="2"/>
        <v>288.60000000000002</v>
      </c>
      <c r="AA28" s="83">
        <f t="shared" si="2"/>
        <v>273.3</v>
      </c>
      <c r="AB28" s="83">
        <f t="shared" si="2"/>
        <v>561.9</v>
      </c>
      <c r="AC28" s="83">
        <f t="shared" si="2"/>
        <v>2407.4</v>
      </c>
      <c r="AD28" s="83">
        <f t="shared" si="2"/>
        <v>2385.6</v>
      </c>
      <c r="AE28" s="83">
        <f t="shared" si="2"/>
        <v>4793</v>
      </c>
    </row>
    <row r="29" spans="1:32" x14ac:dyDescent="0.3">
      <c r="A29" s="92" t="str">
        <f t="shared" si="3"/>
        <v>25-29</v>
      </c>
      <c r="B29" s="83">
        <f t="shared" si="4"/>
        <v>228.3</v>
      </c>
      <c r="C29" s="83">
        <f t="shared" si="2"/>
        <v>252.5</v>
      </c>
      <c r="D29" s="83">
        <f t="shared" si="2"/>
        <v>480.8</v>
      </c>
      <c r="E29" s="83">
        <f t="shared" si="2"/>
        <v>112.8</v>
      </c>
      <c r="F29" s="83">
        <f t="shared" si="2"/>
        <v>120.6</v>
      </c>
      <c r="G29" s="83">
        <f t="shared" si="2"/>
        <v>233.4</v>
      </c>
      <c r="H29" s="83">
        <f t="shared" si="2"/>
        <v>681.9</v>
      </c>
      <c r="I29" s="83">
        <f t="shared" si="2"/>
        <v>646.5</v>
      </c>
      <c r="J29" s="83">
        <f t="shared" si="2"/>
        <v>1328.4</v>
      </c>
      <c r="K29" s="83">
        <f t="shared" si="2"/>
        <v>493.5</v>
      </c>
      <c r="L29" s="83">
        <f t="shared" si="2"/>
        <v>508.8</v>
      </c>
      <c r="M29" s="83">
        <f t="shared" si="2"/>
        <v>1002.2</v>
      </c>
      <c r="N29" s="83">
        <f t="shared" si="2"/>
        <v>229</v>
      </c>
      <c r="O29" s="83">
        <f t="shared" si="2"/>
        <v>228.8</v>
      </c>
      <c r="P29" s="83">
        <f t="shared" si="2"/>
        <v>457.8</v>
      </c>
      <c r="Q29" s="83">
        <f t="shared" si="2"/>
        <v>213.1</v>
      </c>
      <c r="R29" s="83">
        <f t="shared" si="2"/>
        <v>209.6</v>
      </c>
      <c r="S29" s="83">
        <f t="shared" si="2"/>
        <v>422.7</v>
      </c>
      <c r="T29" s="83">
        <f t="shared" si="2"/>
        <v>54.2</v>
      </c>
      <c r="U29" s="83">
        <f t="shared" si="2"/>
        <v>51.3</v>
      </c>
      <c r="V29" s="83">
        <f t="shared" si="2"/>
        <v>105.5</v>
      </c>
      <c r="W29" s="83">
        <f t="shared" si="2"/>
        <v>173.2</v>
      </c>
      <c r="X29" s="83">
        <f t="shared" si="2"/>
        <v>154.4</v>
      </c>
      <c r="Y29" s="83">
        <f t="shared" si="2"/>
        <v>327.60000000000002</v>
      </c>
      <c r="Z29" s="83">
        <f t="shared" si="2"/>
        <v>314.89999999999998</v>
      </c>
      <c r="AA29" s="83">
        <f t="shared" si="2"/>
        <v>292.8</v>
      </c>
      <c r="AB29" s="83">
        <f t="shared" si="2"/>
        <v>607.79999999999995</v>
      </c>
      <c r="AC29" s="83">
        <f t="shared" si="2"/>
        <v>2500.9</v>
      </c>
      <c r="AD29" s="83">
        <f t="shared" si="2"/>
        <v>2465.3000000000002</v>
      </c>
      <c r="AE29" s="83">
        <f t="shared" si="2"/>
        <v>4966.2</v>
      </c>
    </row>
    <row r="30" spans="1:32" x14ac:dyDescent="0.3">
      <c r="A30" s="92" t="str">
        <f t="shared" si="3"/>
        <v>30-34</v>
      </c>
      <c r="B30" s="83">
        <f t="shared" si="4"/>
        <v>252</v>
      </c>
      <c r="C30" s="83">
        <f t="shared" si="2"/>
        <v>283.60000000000002</v>
      </c>
      <c r="D30" s="83">
        <f t="shared" si="2"/>
        <v>535.70000000000005</v>
      </c>
      <c r="E30" s="83">
        <f t="shared" si="2"/>
        <v>120</v>
      </c>
      <c r="F30" s="83">
        <f t="shared" si="2"/>
        <v>128.9</v>
      </c>
      <c r="G30" s="83">
        <f t="shared" si="2"/>
        <v>248.9</v>
      </c>
      <c r="H30" s="83">
        <f t="shared" si="2"/>
        <v>783.5</v>
      </c>
      <c r="I30" s="83">
        <f t="shared" si="2"/>
        <v>756.4</v>
      </c>
      <c r="J30" s="83">
        <f t="shared" si="2"/>
        <v>1539.9</v>
      </c>
      <c r="K30" s="83">
        <f t="shared" si="2"/>
        <v>530.4</v>
      </c>
      <c r="L30" s="83">
        <f t="shared" si="2"/>
        <v>549.6</v>
      </c>
      <c r="M30" s="83">
        <f t="shared" si="2"/>
        <v>1080</v>
      </c>
      <c r="N30" s="83">
        <f t="shared" si="2"/>
        <v>252.4</v>
      </c>
      <c r="O30" s="83">
        <f t="shared" si="2"/>
        <v>252.8</v>
      </c>
      <c r="P30" s="83">
        <f t="shared" si="2"/>
        <v>505.2</v>
      </c>
      <c r="Q30" s="83">
        <f t="shared" si="2"/>
        <v>231.6</v>
      </c>
      <c r="R30" s="83">
        <f t="shared" si="2"/>
        <v>222.2</v>
      </c>
      <c r="S30" s="83">
        <f t="shared" si="2"/>
        <v>453.7</v>
      </c>
      <c r="T30" s="83">
        <f t="shared" si="2"/>
        <v>57.9</v>
      </c>
      <c r="U30" s="83">
        <f t="shared" si="2"/>
        <v>54.2</v>
      </c>
      <c r="V30" s="83">
        <f t="shared" si="2"/>
        <v>112.1</v>
      </c>
      <c r="W30" s="83">
        <f t="shared" si="2"/>
        <v>191.9</v>
      </c>
      <c r="X30" s="83">
        <f t="shared" si="2"/>
        <v>168.8</v>
      </c>
      <c r="Y30" s="83">
        <f t="shared" si="2"/>
        <v>360.8</v>
      </c>
      <c r="Z30" s="83">
        <f t="shared" si="2"/>
        <v>342.3</v>
      </c>
      <c r="AA30" s="83">
        <f t="shared" si="2"/>
        <v>325.7</v>
      </c>
      <c r="AB30" s="83">
        <f t="shared" si="2"/>
        <v>668</v>
      </c>
      <c r="AC30" s="83">
        <f t="shared" si="2"/>
        <v>2762</v>
      </c>
      <c r="AD30" s="83">
        <f t="shared" si="2"/>
        <v>2742.2</v>
      </c>
      <c r="AE30" s="83">
        <f t="shared" si="2"/>
        <v>5504.3</v>
      </c>
    </row>
    <row r="31" spans="1:32" x14ac:dyDescent="0.3">
      <c r="A31" s="92" t="str">
        <f t="shared" si="3"/>
        <v>35-39</v>
      </c>
      <c r="B31" s="83">
        <f t="shared" si="4"/>
        <v>241.9</v>
      </c>
      <c r="C31" s="83">
        <f t="shared" si="2"/>
        <v>269.8</v>
      </c>
      <c r="D31" s="83">
        <f t="shared" si="2"/>
        <v>511.7</v>
      </c>
      <c r="E31" s="83">
        <f t="shared" si="2"/>
        <v>122.8</v>
      </c>
      <c r="F31" s="83">
        <f t="shared" si="2"/>
        <v>132.30000000000001</v>
      </c>
      <c r="G31" s="83">
        <f t="shared" si="2"/>
        <v>255</v>
      </c>
      <c r="H31" s="83">
        <f t="shared" si="2"/>
        <v>850</v>
      </c>
      <c r="I31" s="83">
        <f t="shared" si="2"/>
        <v>823.5</v>
      </c>
      <c r="J31" s="83">
        <f t="shared" si="2"/>
        <v>1673.5</v>
      </c>
      <c r="K31" s="83">
        <f t="shared" si="2"/>
        <v>520.70000000000005</v>
      </c>
      <c r="L31" s="83">
        <f t="shared" si="2"/>
        <v>531.1</v>
      </c>
      <c r="M31" s="83">
        <f t="shared" si="2"/>
        <v>1051.8</v>
      </c>
      <c r="N31" s="83">
        <f t="shared" si="2"/>
        <v>244.4</v>
      </c>
      <c r="O31" s="83">
        <f t="shared" si="2"/>
        <v>241.7</v>
      </c>
      <c r="P31" s="83">
        <f t="shared" si="2"/>
        <v>486.1</v>
      </c>
      <c r="Q31" s="83">
        <f t="shared" si="2"/>
        <v>240</v>
      </c>
      <c r="R31" s="83">
        <f t="shared" si="2"/>
        <v>223.3</v>
      </c>
      <c r="S31" s="83">
        <f t="shared" si="2"/>
        <v>463.3</v>
      </c>
      <c r="T31" s="83">
        <f t="shared" si="2"/>
        <v>58.4</v>
      </c>
      <c r="U31" s="83">
        <f t="shared" si="2"/>
        <v>54.5</v>
      </c>
      <c r="V31" s="83">
        <f t="shared" si="2"/>
        <v>112.9</v>
      </c>
      <c r="W31" s="83">
        <f t="shared" si="2"/>
        <v>196.6</v>
      </c>
      <c r="X31" s="83">
        <f t="shared" si="2"/>
        <v>172.6</v>
      </c>
      <c r="Y31" s="83">
        <f t="shared" si="2"/>
        <v>369.3</v>
      </c>
      <c r="Z31" s="83">
        <f t="shared" si="2"/>
        <v>361.3</v>
      </c>
      <c r="AA31" s="83">
        <f t="shared" si="2"/>
        <v>348.8</v>
      </c>
      <c r="AB31" s="83">
        <f t="shared" si="2"/>
        <v>710.1</v>
      </c>
      <c r="AC31" s="83">
        <f t="shared" si="2"/>
        <v>2836</v>
      </c>
      <c r="AD31" s="83">
        <f t="shared" si="2"/>
        <v>2797.6</v>
      </c>
      <c r="AE31" s="83">
        <f t="shared" si="2"/>
        <v>5633.6</v>
      </c>
    </row>
    <row r="32" spans="1:32" x14ac:dyDescent="0.3">
      <c r="A32" s="92" t="str">
        <f t="shared" si="3"/>
        <v>40-44</v>
      </c>
      <c r="B32" s="83">
        <f t="shared" si="4"/>
        <v>194.6</v>
      </c>
      <c r="C32" s="83">
        <f t="shared" si="2"/>
        <v>211.3</v>
      </c>
      <c r="D32" s="83">
        <f t="shared" si="2"/>
        <v>405.9</v>
      </c>
      <c r="E32" s="83">
        <f t="shared" si="2"/>
        <v>99.2</v>
      </c>
      <c r="F32" s="83">
        <f t="shared" si="2"/>
        <v>107.7</v>
      </c>
      <c r="G32" s="83">
        <f t="shared" si="2"/>
        <v>206.9</v>
      </c>
      <c r="H32" s="83">
        <f t="shared" si="2"/>
        <v>711.9</v>
      </c>
      <c r="I32" s="83">
        <f t="shared" si="2"/>
        <v>696.6</v>
      </c>
      <c r="J32" s="83">
        <f t="shared" si="2"/>
        <v>1408.5</v>
      </c>
      <c r="K32" s="83">
        <f t="shared" si="2"/>
        <v>400.2</v>
      </c>
      <c r="L32" s="83">
        <f t="shared" si="2"/>
        <v>422.3</v>
      </c>
      <c r="M32" s="83">
        <f t="shared" si="2"/>
        <v>822.5</v>
      </c>
      <c r="N32" s="83">
        <f t="shared" si="2"/>
        <v>197.2</v>
      </c>
      <c r="O32" s="83">
        <f t="shared" si="2"/>
        <v>192.4</v>
      </c>
      <c r="P32" s="83">
        <f t="shared" si="2"/>
        <v>389.6</v>
      </c>
      <c r="Q32" s="83">
        <f t="shared" si="2"/>
        <v>200.6</v>
      </c>
      <c r="R32" s="83">
        <f t="shared" si="2"/>
        <v>180.2</v>
      </c>
      <c r="S32" s="83">
        <f t="shared" si="2"/>
        <v>380.8</v>
      </c>
      <c r="T32" s="83">
        <f t="shared" si="2"/>
        <v>49.3</v>
      </c>
      <c r="U32" s="83">
        <f t="shared" si="2"/>
        <v>43.8</v>
      </c>
      <c r="V32" s="83">
        <f t="shared" si="2"/>
        <v>93.1</v>
      </c>
      <c r="W32" s="83">
        <f t="shared" si="2"/>
        <v>163.30000000000001</v>
      </c>
      <c r="X32" s="83">
        <f t="shared" si="2"/>
        <v>138.4</v>
      </c>
      <c r="Y32" s="83">
        <f t="shared" si="2"/>
        <v>301.7</v>
      </c>
      <c r="Z32" s="83">
        <f t="shared" si="2"/>
        <v>314.3</v>
      </c>
      <c r="AA32" s="83">
        <f t="shared" si="2"/>
        <v>303.10000000000002</v>
      </c>
      <c r="AB32" s="83">
        <f t="shared" si="2"/>
        <v>617.29999999999995</v>
      </c>
      <c r="AC32" s="83">
        <f t="shared" si="2"/>
        <v>2330.5</v>
      </c>
      <c r="AD32" s="83">
        <f t="shared" si="2"/>
        <v>2295.6</v>
      </c>
      <c r="AE32" s="83">
        <f t="shared" si="2"/>
        <v>4626.1000000000004</v>
      </c>
    </row>
    <row r="33" spans="1:31" x14ac:dyDescent="0.3">
      <c r="A33" s="92" t="str">
        <f t="shared" si="3"/>
        <v>45-49</v>
      </c>
      <c r="B33" s="83">
        <f t="shared" si="4"/>
        <v>154.4</v>
      </c>
      <c r="C33" s="83">
        <f t="shared" si="2"/>
        <v>172.6</v>
      </c>
      <c r="D33" s="83">
        <f t="shared" si="2"/>
        <v>327.10000000000002</v>
      </c>
      <c r="E33" s="83">
        <f t="shared" si="2"/>
        <v>75.900000000000006</v>
      </c>
      <c r="F33" s="83">
        <f t="shared" si="2"/>
        <v>86</v>
      </c>
      <c r="G33" s="83">
        <f t="shared" si="2"/>
        <v>161.9</v>
      </c>
      <c r="H33" s="83">
        <f t="shared" si="2"/>
        <v>552.9</v>
      </c>
      <c r="I33" s="83">
        <f t="shared" si="2"/>
        <v>499.3</v>
      </c>
      <c r="J33" s="83">
        <f t="shared" si="2"/>
        <v>1052.2</v>
      </c>
      <c r="K33" s="83">
        <f t="shared" si="2"/>
        <v>284.3</v>
      </c>
      <c r="L33" s="83">
        <f t="shared" ref="C33:AE41" si="5">ROUND(L12/1000,1)</f>
        <v>318.5</v>
      </c>
      <c r="M33" s="83">
        <f t="shared" si="5"/>
        <v>602.79999999999995</v>
      </c>
      <c r="N33" s="83">
        <f t="shared" si="5"/>
        <v>145.30000000000001</v>
      </c>
      <c r="O33" s="83">
        <f t="shared" si="5"/>
        <v>166</v>
      </c>
      <c r="P33" s="83">
        <f t="shared" si="5"/>
        <v>311.3</v>
      </c>
      <c r="Q33" s="83">
        <f t="shared" si="5"/>
        <v>143.9</v>
      </c>
      <c r="R33" s="83">
        <f t="shared" si="5"/>
        <v>138.6</v>
      </c>
      <c r="S33" s="83">
        <f t="shared" si="5"/>
        <v>282.5</v>
      </c>
      <c r="T33" s="83">
        <f t="shared" si="5"/>
        <v>38.1</v>
      </c>
      <c r="U33" s="83">
        <f t="shared" si="5"/>
        <v>34.200000000000003</v>
      </c>
      <c r="V33" s="83">
        <f t="shared" si="5"/>
        <v>72.3</v>
      </c>
      <c r="W33" s="83">
        <f t="shared" si="5"/>
        <v>127.2</v>
      </c>
      <c r="X33" s="83">
        <f t="shared" si="5"/>
        <v>109.5</v>
      </c>
      <c r="Y33" s="83">
        <f>ROUND(Y12/1000,1)</f>
        <v>236.7</v>
      </c>
      <c r="Z33" s="83">
        <f t="shared" si="5"/>
        <v>245.7</v>
      </c>
      <c r="AA33" s="83">
        <f t="shared" si="5"/>
        <v>237.2</v>
      </c>
      <c r="AB33" s="83">
        <f t="shared" si="5"/>
        <v>482.9</v>
      </c>
      <c r="AC33" s="83">
        <f t="shared" si="5"/>
        <v>1767.6</v>
      </c>
      <c r="AD33" s="83">
        <f t="shared" si="5"/>
        <v>1762</v>
      </c>
      <c r="AE33" s="83">
        <f t="shared" si="5"/>
        <v>3529.6</v>
      </c>
    </row>
    <row r="34" spans="1:31" x14ac:dyDescent="0.3">
      <c r="A34" s="92" t="str">
        <f t="shared" si="3"/>
        <v>50-54</v>
      </c>
      <c r="B34" s="83">
        <f t="shared" si="4"/>
        <v>130</v>
      </c>
      <c r="C34" s="83">
        <f t="shared" si="5"/>
        <v>164.8</v>
      </c>
      <c r="D34" s="83">
        <f t="shared" si="5"/>
        <v>294.8</v>
      </c>
      <c r="E34" s="83">
        <f t="shared" si="5"/>
        <v>64.400000000000006</v>
      </c>
      <c r="F34" s="83">
        <f t="shared" si="5"/>
        <v>78.3</v>
      </c>
      <c r="G34" s="83">
        <f t="shared" si="5"/>
        <v>142.69999999999999</v>
      </c>
      <c r="H34" s="83">
        <f t="shared" si="5"/>
        <v>453.5</v>
      </c>
      <c r="I34" s="83">
        <f t="shared" si="5"/>
        <v>391.3</v>
      </c>
      <c r="J34" s="83">
        <f t="shared" si="5"/>
        <v>844.8</v>
      </c>
      <c r="K34" s="83">
        <f t="shared" si="5"/>
        <v>230.3</v>
      </c>
      <c r="L34" s="83">
        <f t="shared" si="5"/>
        <v>278.2</v>
      </c>
      <c r="M34" s="83">
        <f t="shared" si="5"/>
        <v>508.5</v>
      </c>
      <c r="N34" s="83">
        <f t="shared" si="5"/>
        <v>114.3</v>
      </c>
      <c r="O34" s="83">
        <f t="shared" si="5"/>
        <v>149</v>
      </c>
      <c r="P34" s="83">
        <f t="shared" si="5"/>
        <v>263.2</v>
      </c>
      <c r="Q34" s="83">
        <f t="shared" si="5"/>
        <v>110.7</v>
      </c>
      <c r="R34" s="83">
        <f t="shared" si="5"/>
        <v>120.2</v>
      </c>
      <c r="S34" s="83">
        <f t="shared" si="5"/>
        <v>230.9</v>
      </c>
      <c r="T34" s="83">
        <f t="shared" si="5"/>
        <v>31.4</v>
      </c>
      <c r="U34" s="83">
        <f t="shared" si="5"/>
        <v>31.1</v>
      </c>
      <c r="V34" s="83">
        <f t="shared" si="5"/>
        <v>62.5</v>
      </c>
      <c r="W34" s="83">
        <f t="shared" si="5"/>
        <v>101.9</v>
      </c>
      <c r="X34" s="83">
        <f t="shared" si="5"/>
        <v>96.6</v>
      </c>
      <c r="Y34" s="83">
        <f t="shared" si="5"/>
        <v>198.5</v>
      </c>
      <c r="Z34" s="83">
        <f t="shared" si="5"/>
        <v>213.4</v>
      </c>
      <c r="AA34" s="83">
        <f t="shared" si="5"/>
        <v>208.7</v>
      </c>
      <c r="AB34" s="83">
        <f t="shared" si="5"/>
        <v>422.1</v>
      </c>
      <c r="AC34" s="83">
        <f t="shared" si="5"/>
        <v>1449.8</v>
      </c>
      <c r="AD34" s="83">
        <f t="shared" si="5"/>
        <v>1518.2</v>
      </c>
      <c r="AE34" s="83">
        <f t="shared" si="5"/>
        <v>2968</v>
      </c>
    </row>
    <row r="35" spans="1:31" x14ac:dyDescent="0.3">
      <c r="A35" s="92" t="str">
        <f t="shared" si="3"/>
        <v>55-59</v>
      </c>
      <c r="B35" s="83">
        <f t="shared" si="4"/>
        <v>102.6</v>
      </c>
      <c r="C35" s="83">
        <f t="shared" si="5"/>
        <v>159.1</v>
      </c>
      <c r="D35" s="83">
        <f t="shared" si="5"/>
        <v>261.8</v>
      </c>
      <c r="E35" s="83">
        <f t="shared" si="5"/>
        <v>52.2</v>
      </c>
      <c r="F35" s="83">
        <f t="shared" si="5"/>
        <v>72.900000000000006</v>
      </c>
      <c r="G35" s="83">
        <f t="shared" si="5"/>
        <v>125.1</v>
      </c>
      <c r="H35" s="83">
        <f t="shared" si="5"/>
        <v>338</v>
      </c>
      <c r="I35" s="83">
        <f t="shared" si="5"/>
        <v>334.2</v>
      </c>
      <c r="J35" s="83">
        <f t="shared" si="5"/>
        <v>672.2</v>
      </c>
      <c r="K35" s="83">
        <f t="shared" si="5"/>
        <v>166.1</v>
      </c>
      <c r="L35" s="83">
        <f t="shared" si="5"/>
        <v>245.9</v>
      </c>
      <c r="M35" s="83">
        <f t="shared" si="5"/>
        <v>411.9</v>
      </c>
      <c r="N35" s="83">
        <f t="shared" si="5"/>
        <v>86.1</v>
      </c>
      <c r="O35" s="83">
        <f t="shared" si="5"/>
        <v>129</v>
      </c>
      <c r="P35" s="83">
        <f t="shared" si="5"/>
        <v>215.1</v>
      </c>
      <c r="Q35" s="83">
        <f t="shared" si="5"/>
        <v>82</v>
      </c>
      <c r="R35" s="83">
        <f t="shared" si="5"/>
        <v>104.4</v>
      </c>
      <c r="S35" s="83">
        <f t="shared" si="5"/>
        <v>186.3</v>
      </c>
      <c r="T35" s="83">
        <f t="shared" si="5"/>
        <v>24.7</v>
      </c>
      <c r="U35" s="83">
        <f t="shared" si="5"/>
        <v>29.2</v>
      </c>
      <c r="V35" s="83">
        <f t="shared" si="5"/>
        <v>53.9</v>
      </c>
      <c r="W35" s="83">
        <f t="shared" si="5"/>
        <v>80.5</v>
      </c>
      <c r="X35" s="83">
        <f t="shared" si="5"/>
        <v>84.4</v>
      </c>
      <c r="Y35" s="83">
        <f t="shared" si="5"/>
        <v>164.9</v>
      </c>
      <c r="Z35" s="83">
        <f t="shared" si="5"/>
        <v>172.5</v>
      </c>
      <c r="AA35" s="83">
        <f t="shared" si="5"/>
        <v>195.5</v>
      </c>
      <c r="AB35" s="83">
        <f t="shared" si="5"/>
        <v>367.9</v>
      </c>
      <c r="AC35" s="83">
        <f t="shared" si="5"/>
        <v>1104.7</v>
      </c>
      <c r="AD35" s="83">
        <f t="shared" si="5"/>
        <v>1354.5</v>
      </c>
      <c r="AE35" s="83">
        <f t="shared" si="5"/>
        <v>2459.1999999999998</v>
      </c>
    </row>
    <row r="36" spans="1:31" x14ac:dyDescent="0.3">
      <c r="A36" s="92" t="str">
        <f t="shared" si="3"/>
        <v>60-64</v>
      </c>
      <c r="B36" s="83">
        <f t="shared" si="4"/>
        <v>89.8</v>
      </c>
      <c r="C36" s="83">
        <f t="shared" si="5"/>
        <v>157.5</v>
      </c>
      <c r="D36" s="83">
        <f t="shared" si="5"/>
        <v>247.3</v>
      </c>
      <c r="E36" s="83">
        <f t="shared" si="5"/>
        <v>44.1</v>
      </c>
      <c r="F36" s="83">
        <f t="shared" si="5"/>
        <v>65.5</v>
      </c>
      <c r="G36" s="83">
        <f t="shared" si="5"/>
        <v>109.6</v>
      </c>
      <c r="H36" s="83">
        <f t="shared" si="5"/>
        <v>273.5</v>
      </c>
      <c r="I36" s="83">
        <f t="shared" si="5"/>
        <v>290.3</v>
      </c>
      <c r="J36" s="83">
        <f t="shared" si="5"/>
        <v>563.79999999999995</v>
      </c>
      <c r="K36" s="83">
        <f t="shared" si="5"/>
        <v>138.4</v>
      </c>
      <c r="L36" s="83">
        <f t="shared" si="5"/>
        <v>231</v>
      </c>
      <c r="M36" s="83">
        <f t="shared" si="5"/>
        <v>369.4</v>
      </c>
      <c r="N36" s="83">
        <f t="shared" si="5"/>
        <v>67.7</v>
      </c>
      <c r="O36" s="83">
        <f t="shared" si="5"/>
        <v>121.1</v>
      </c>
      <c r="P36" s="83">
        <f t="shared" si="5"/>
        <v>188.9</v>
      </c>
      <c r="Q36" s="83">
        <f t="shared" si="5"/>
        <v>66.599999999999994</v>
      </c>
      <c r="R36" s="83">
        <f t="shared" si="5"/>
        <v>90.4</v>
      </c>
      <c r="S36" s="83">
        <f t="shared" si="5"/>
        <v>157</v>
      </c>
      <c r="T36" s="83">
        <f t="shared" si="5"/>
        <v>19.7</v>
      </c>
      <c r="U36" s="83">
        <f t="shared" si="5"/>
        <v>26.2</v>
      </c>
      <c r="V36" s="83">
        <f t="shared" si="5"/>
        <v>45.9</v>
      </c>
      <c r="W36" s="83">
        <f t="shared" si="5"/>
        <v>67.7</v>
      </c>
      <c r="X36" s="83">
        <f t="shared" si="5"/>
        <v>73.599999999999994</v>
      </c>
      <c r="Y36" s="83">
        <f t="shared" si="5"/>
        <v>141.30000000000001</v>
      </c>
      <c r="Z36" s="83">
        <f t="shared" si="5"/>
        <v>140.19999999999999</v>
      </c>
      <c r="AA36" s="83">
        <f t="shared" si="5"/>
        <v>171.6</v>
      </c>
      <c r="AB36" s="83">
        <f t="shared" si="5"/>
        <v>311.7</v>
      </c>
      <c r="AC36" s="83">
        <f t="shared" si="5"/>
        <v>907.6</v>
      </c>
      <c r="AD36" s="83">
        <f t="shared" si="5"/>
        <v>1227.3</v>
      </c>
      <c r="AE36" s="83">
        <f t="shared" si="5"/>
        <v>2134.9</v>
      </c>
    </row>
    <row r="37" spans="1:31" x14ac:dyDescent="0.3">
      <c r="A37" s="92" t="str">
        <f t="shared" si="3"/>
        <v>65-69</v>
      </c>
      <c r="B37" s="83">
        <f t="shared" si="4"/>
        <v>75.099999999999994</v>
      </c>
      <c r="C37" s="83">
        <f t="shared" si="5"/>
        <v>143</v>
      </c>
      <c r="D37" s="83">
        <f t="shared" si="5"/>
        <v>218.1</v>
      </c>
      <c r="E37" s="83">
        <f t="shared" si="5"/>
        <v>34.1</v>
      </c>
      <c r="F37" s="83">
        <f t="shared" si="5"/>
        <v>53.9</v>
      </c>
      <c r="G37" s="83">
        <f t="shared" si="5"/>
        <v>88</v>
      </c>
      <c r="H37" s="83">
        <f t="shared" si="5"/>
        <v>207.6</v>
      </c>
      <c r="I37" s="83">
        <f t="shared" si="5"/>
        <v>236</v>
      </c>
      <c r="J37" s="83">
        <f t="shared" si="5"/>
        <v>443.6</v>
      </c>
      <c r="K37" s="83">
        <f t="shared" si="5"/>
        <v>103.8</v>
      </c>
      <c r="L37" s="83">
        <f t="shared" si="5"/>
        <v>187.5</v>
      </c>
      <c r="M37" s="83">
        <f t="shared" si="5"/>
        <v>291.3</v>
      </c>
      <c r="N37" s="83">
        <f t="shared" si="5"/>
        <v>49.8</v>
      </c>
      <c r="O37" s="83">
        <f t="shared" si="5"/>
        <v>99.7</v>
      </c>
      <c r="P37" s="83">
        <f t="shared" si="5"/>
        <v>149.5</v>
      </c>
      <c r="Q37" s="83">
        <f t="shared" si="5"/>
        <v>48.3</v>
      </c>
      <c r="R37" s="83">
        <f t="shared" si="5"/>
        <v>68.400000000000006</v>
      </c>
      <c r="S37" s="83">
        <f t="shared" si="5"/>
        <v>116.7</v>
      </c>
      <c r="T37" s="83">
        <f t="shared" si="5"/>
        <v>15.6</v>
      </c>
      <c r="U37" s="83">
        <f t="shared" si="5"/>
        <v>22.4</v>
      </c>
      <c r="V37" s="83">
        <f t="shared" si="5"/>
        <v>37.9</v>
      </c>
      <c r="W37" s="83">
        <f t="shared" si="5"/>
        <v>50.1</v>
      </c>
      <c r="X37" s="83">
        <f t="shared" si="5"/>
        <v>59.5</v>
      </c>
      <c r="Y37" s="83">
        <f t="shared" si="5"/>
        <v>109.6</v>
      </c>
      <c r="Z37" s="83">
        <f t="shared" si="5"/>
        <v>105</v>
      </c>
      <c r="AA37" s="83">
        <f t="shared" si="5"/>
        <v>139</v>
      </c>
      <c r="AB37" s="83">
        <f t="shared" si="5"/>
        <v>244</v>
      </c>
      <c r="AC37" s="83">
        <f t="shared" si="5"/>
        <v>689.5</v>
      </c>
      <c r="AD37" s="83">
        <f t="shared" si="5"/>
        <v>1009.4</v>
      </c>
      <c r="AE37" s="83">
        <f t="shared" si="5"/>
        <v>1698.9</v>
      </c>
    </row>
    <row r="38" spans="1:31" x14ac:dyDescent="0.3">
      <c r="A38" s="92" t="str">
        <f t="shared" si="3"/>
        <v>70-74</v>
      </c>
      <c r="B38" s="83">
        <f t="shared" si="4"/>
        <v>56.6</v>
      </c>
      <c r="C38" s="83">
        <f t="shared" si="5"/>
        <v>110.3</v>
      </c>
      <c r="D38" s="83">
        <f t="shared" si="5"/>
        <v>166.8</v>
      </c>
      <c r="E38" s="83">
        <f t="shared" si="5"/>
        <v>23.8</v>
      </c>
      <c r="F38" s="83">
        <f t="shared" si="5"/>
        <v>42.8</v>
      </c>
      <c r="G38" s="83">
        <f t="shared" si="5"/>
        <v>66.7</v>
      </c>
      <c r="H38" s="83">
        <f t="shared" si="5"/>
        <v>142</v>
      </c>
      <c r="I38" s="83">
        <f t="shared" si="5"/>
        <v>174</v>
      </c>
      <c r="J38" s="83">
        <f t="shared" si="5"/>
        <v>316</v>
      </c>
      <c r="K38" s="83">
        <f t="shared" si="5"/>
        <v>74.8</v>
      </c>
      <c r="L38" s="83">
        <f t="shared" si="5"/>
        <v>142.69999999999999</v>
      </c>
      <c r="M38" s="83">
        <f t="shared" si="5"/>
        <v>217.4</v>
      </c>
      <c r="N38" s="83">
        <f t="shared" si="5"/>
        <v>36.1</v>
      </c>
      <c r="O38" s="83">
        <f t="shared" si="5"/>
        <v>82.9</v>
      </c>
      <c r="P38" s="83">
        <f t="shared" si="5"/>
        <v>119</v>
      </c>
      <c r="Q38" s="83">
        <f t="shared" si="5"/>
        <v>34.299999999999997</v>
      </c>
      <c r="R38" s="83">
        <f t="shared" si="5"/>
        <v>53.6</v>
      </c>
      <c r="S38" s="83">
        <f t="shared" si="5"/>
        <v>87.9</v>
      </c>
      <c r="T38" s="83">
        <f t="shared" si="5"/>
        <v>11.3</v>
      </c>
      <c r="U38" s="83">
        <f t="shared" si="5"/>
        <v>18.2</v>
      </c>
      <c r="V38" s="83">
        <f t="shared" si="5"/>
        <v>29.6</v>
      </c>
      <c r="W38" s="83">
        <f t="shared" si="5"/>
        <v>30</v>
      </c>
      <c r="X38" s="83">
        <f t="shared" si="5"/>
        <v>44.9</v>
      </c>
      <c r="Y38" s="83">
        <f t="shared" si="5"/>
        <v>75</v>
      </c>
      <c r="Z38" s="83">
        <f t="shared" si="5"/>
        <v>74.400000000000006</v>
      </c>
      <c r="AA38" s="83">
        <f t="shared" si="5"/>
        <v>100.7</v>
      </c>
      <c r="AB38" s="83">
        <f t="shared" si="5"/>
        <v>175.1</v>
      </c>
      <c r="AC38" s="83">
        <f t="shared" si="5"/>
        <v>483.4</v>
      </c>
      <c r="AD38" s="83">
        <f t="shared" si="5"/>
        <v>770</v>
      </c>
      <c r="AE38" s="83">
        <f t="shared" si="5"/>
        <v>1253.4000000000001</v>
      </c>
    </row>
    <row r="39" spans="1:31" x14ac:dyDescent="0.3">
      <c r="A39" s="92" t="str">
        <f t="shared" si="3"/>
        <v>70-79</v>
      </c>
      <c r="B39" s="83">
        <f t="shared" si="4"/>
        <v>37.9</v>
      </c>
      <c r="C39" s="83">
        <f t="shared" si="5"/>
        <v>78.599999999999994</v>
      </c>
      <c r="D39" s="83">
        <f t="shared" si="5"/>
        <v>116.6</v>
      </c>
      <c r="E39" s="83">
        <f t="shared" si="5"/>
        <v>13.2</v>
      </c>
      <c r="F39" s="83">
        <f t="shared" si="5"/>
        <v>28.2</v>
      </c>
      <c r="G39" s="83">
        <f t="shared" si="5"/>
        <v>41.4</v>
      </c>
      <c r="H39" s="83">
        <f t="shared" si="5"/>
        <v>83.1</v>
      </c>
      <c r="I39" s="83">
        <f t="shared" si="5"/>
        <v>112.8</v>
      </c>
      <c r="J39" s="83">
        <f t="shared" si="5"/>
        <v>195.9</v>
      </c>
      <c r="K39" s="83">
        <f t="shared" si="5"/>
        <v>45.5</v>
      </c>
      <c r="L39" s="83">
        <f t="shared" si="5"/>
        <v>100.6</v>
      </c>
      <c r="M39" s="83">
        <f t="shared" si="5"/>
        <v>146.1</v>
      </c>
      <c r="N39" s="83">
        <f t="shared" si="5"/>
        <v>21.1</v>
      </c>
      <c r="O39" s="83">
        <f t="shared" si="5"/>
        <v>55.3</v>
      </c>
      <c r="P39" s="83">
        <f t="shared" si="5"/>
        <v>76.400000000000006</v>
      </c>
      <c r="Q39" s="83">
        <f t="shared" si="5"/>
        <v>18.8</v>
      </c>
      <c r="R39" s="83">
        <f t="shared" si="5"/>
        <v>33</v>
      </c>
      <c r="S39" s="83">
        <f t="shared" si="5"/>
        <v>51.8</v>
      </c>
      <c r="T39" s="83">
        <f t="shared" si="5"/>
        <v>6.8</v>
      </c>
      <c r="U39" s="83">
        <f t="shared" si="5"/>
        <v>12.9</v>
      </c>
      <c r="V39" s="83">
        <f t="shared" si="5"/>
        <v>19.600000000000001</v>
      </c>
      <c r="W39" s="83">
        <f t="shared" si="5"/>
        <v>16.3</v>
      </c>
      <c r="X39" s="83">
        <f t="shared" si="5"/>
        <v>29.6</v>
      </c>
      <c r="Y39" s="83">
        <f t="shared" si="5"/>
        <v>45.9</v>
      </c>
      <c r="Z39" s="83">
        <f t="shared" si="5"/>
        <v>47.8</v>
      </c>
      <c r="AA39" s="83">
        <f t="shared" si="5"/>
        <v>71.400000000000006</v>
      </c>
      <c r="AB39" s="83">
        <f t="shared" si="5"/>
        <v>119.2</v>
      </c>
      <c r="AC39" s="83">
        <f t="shared" si="5"/>
        <v>290.5</v>
      </c>
      <c r="AD39" s="83">
        <f t="shared" si="5"/>
        <v>522.4</v>
      </c>
      <c r="AE39" s="83">
        <f t="shared" si="5"/>
        <v>812.9</v>
      </c>
    </row>
    <row r="40" spans="1:31" x14ac:dyDescent="0.3">
      <c r="A40" s="92" t="str">
        <f t="shared" si="3"/>
        <v>80+</v>
      </c>
      <c r="B40" s="83">
        <f t="shared" si="4"/>
        <v>56.6</v>
      </c>
      <c r="C40" s="83">
        <f t="shared" si="5"/>
        <v>112.1</v>
      </c>
      <c r="D40" s="83">
        <f t="shared" si="5"/>
        <v>168.7</v>
      </c>
      <c r="E40" s="83">
        <f t="shared" si="5"/>
        <v>7.9</v>
      </c>
      <c r="F40" s="83">
        <f t="shared" si="5"/>
        <v>25</v>
      </c>
      <c r="G40" s="83">
        <f t="shared" si="5"/>
        <v>32.9</v>
      </c>
      <c r="H40" s="83">
        <f t="shared" si="5"/>
        <v>43.9</v>
      </c>
      <c r="I40" s="83">
        <f t="shared" si="5"/>
        <v>77.2</v>
      </c>
      <c r="J40" s="83">
        <f t="shared" si="5"/>
        <v>121.1</v>
      </c>
      <c r="K40" s="83">
        <f t="shared" si="5"/>
        <v>30.6</v>
      </c>
      <c r="L40" s="83">
        <f t="shared" si="5"/>
        <v>73</v>
      </c>
      <c r="M40" s="83">
        <f t="shared" si="5"/>
        <v>103.6</v>
      </c>
      <c r="N40" s="83">
        <f t="shared" si="5"/>
        <v>18.8</v>
      </c>
      <c r="O40" s="83">
        <f t="shared" si="5"/>
        <v>62.6</v>
      </c>
      <c r="P40" s="83">
        <f t="shared" si="5"/>
        <v>81.400000000000006</v>
      </c>
      <c r="Q40" s="83">
        <f t="shared" si="5"/>
        <v>15.9</v>
      </c>
      <c r="R40" s="83">
        <f t="shared" si="5"/>
        <v>35.5</v>
      </c>
      <c r="S40" s="83">
        <f t="shared" si="5"/>
        <v>51.5</v>
      </c>
      <c r="T40" s="83">
        <f t="shared" si="5"/>
        <v>5.4</v>
      </c>
      <c r="U40" s="83">
        <f t="shared" si="5"/>
        <v>14.9</v>
      </c>
      <c r="V40" s="83">
        <f t="shared" si="5"/>
        <v>20.2</v>
      </c>
      <c r="W40" s="83">
        <f t="shared" si="5"/>
        <v>6.9</v>
      </c>
      <c r="X40" s="83">
        <f t="shared" si="5"/>
        <v>30.5</v>
      </c>
      <c r="Y40" s="83">
        <f t="shared" si="5"/>
        <v>37.4</v>
      </c>
      <c r="Z40" s="83">
        <f t="shared" si="5"/>
        <v>37</v>
      </c>
      <c r="AA40" s="83">
        <f t="shared" si="5"/>
        <v>51.2</v>
      </c>
      <c r="AB40" s="83">
        <f t="shared" si="5"/>
        <v>88.3</v>
      </c>
      <c r="AC40" s="83">
        <f t="shared" si="5"/>
        <v>223</v>
      </c>
      <c r="AD40" s="83">
        <f t="shared" si="5"/>
        <v>482</v>
      </c>
      <c r="AE40" s="83">
        <f t="shared" si="5"/>
        <v>705</v>
      </c>
    </row>
    <row r="41" spans="1:31" x14ac:dyDescent="0.3">
      <c r="B41" s="83">
        <f t="shared" si="4"/>
        <v>3293.5</v>
      </c>
      <c r="C41" s="83">
        <f t="shared" si="5"/>
        <v>3797.2</v>
      </c>
      <c r="D41" s="83">
        <f t="shared" si="5"/>
        <v>7090.8</v>
      </c>
      <c r="E41" s="83">
        <f t="shared" si="5"/>
        <v>1426.9</v>
      </c>
      <c r="F41" s="83">
        <f t="shared" si="5"/>
        <v>1612.9</v>
      </c>
      <c r="G41" s="83">
        <f t="shared" si="5"/>
        <v>3039.8</v>
      </c>
      <c r="H41" s="83">
        <f t="shared" si="5"/>
        <v>8136.5</v>
      </c>
      <c r="I41" s="83">
        <f t="shared" si="5"/>
        <v>7968.5</v>
      </c>
      <c r="J41" s="83">
        <f t="shared" si="5"/>
        <v>16104.9</v>
      </c>
      <c r="K41" s="83">
        <f t="shared" si="5"/>
        <v>5851.5</v>
      </c>
      <c r="L41" s="83">
        <f t="shared" si="5"/>
        <v>6380.7</v>
      </c>
      <c r="M41" s="83">
        <f t="shared" si="5"/>
        <v>12232.2</v>
      </c>
      <c r="N41" s="83">
        <f t="shared" si="5"/>
        <v>3044.5</v>
      </c>
      <c r="O41" s="83">
        <f t="shared" si="5"/>
        <v>3321.7</v>
      </c>
      <c r="P41" s="83">
        <f t="shared" si="5"/>
        <v>6366.2</v>
      </c>
      <c r="Q41" s="83">
        <f t="shared" si="5"/>
        <v>2507.1999999999998</v>
      </c>
      <c r="R41" s="83">
        <f t="shared" si="5"/>
        <v>2569</v>
      </c>
      <c r="S41" s="83">
        <f t="shared" si="5"/>
        <v>5076.1000000000004</v>
      </c>
      <c r="T41" s="83">
        <f t="shared" si="5"/>
        <v>682.1</v>
      </c>
      <c r="U41" s="83">
        <f t="shared" si="5"/>
        <v>697.1</v>
      </c>
      <c r="V41" s="83">
        <f t="shared" si="5"/>
        <v>1379.2</v>
      </c>
      <c r="W41" s="83">
        <f t="shared" si="5"/>
        <v>2126.8000000000002</v>
      </c>
      <c r="X41" s="83">
        <f t="shared" si="5"/>
        <v>2057.1999999999998</v>
      </c>
      <c r="Y41" s="83">
        <f t="shared" si="5"/>
        <v>4183.8999999999996</v>
      </c>
      <c r="Z41" s="83">
        <f t="shared" si="5"/>
        <v>3803</v>
      </c>
      <c r="AA41" s="83">
        <f t="shared" si="5"/>
        <v>3824.6</v>
      </c>
      <c r="AB41" s="83">
        <f t="shared" si="5"/>
        <v>7627.7</v>
      </c>
      <c r="AC41" s="83">
        <f t="shared" si="5"/>
        <v>30872.1</v>
      </c>
      <c r="AD41" s="83">
        <f t="shared" si="5"/>
        <v>32228.799999999999</v>
      </c>
      <c r="AE41" s="83">
        <f t="shared" si="5"/>
        <v>63100.9</v>
      </c>
    </row>
    <row r="42" spans="1:31" x14ac:dyDescent="0.3"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35"/>
  <sheetViews>
    <sheetView workbookViewId="0">
      <selection activeCell="M16" sqref="M16"/>
    </sheetView>
  </sheetViews>
  <sheetFormatPr defaultColWidth="9.109375" defaultRowHeight="14.4" x14ac:dyDescent="0.3"/>
  <cols>
    <col min="1" max="16384" width="9.109375" style="51"/>
  </cols>
  <sheetData>
    <row r="1" spans="2:12" x14ac:dyDescent="0.3">
      <c r="B1" s="80"/>
      <c r="C1" s="126" t="s">
        <v>64</v>
      </c>
      <c r="D1" s="126"/>
      <c r="E1" s="126"/>
      <c r="F1" s="126"/>
      <c r="G1" s="126"/>
      <c r="H1" s="126"/>
      <c r="I1" s="126"/>
      <c r="J1" s="126"/>
      <c r="K1" s="126"/>
    </row>
    <row r="2" spans="2:12" x14ac:dyDescent="0.3">
      <c r="B2" s="95"/>
      <c r="C2" s="93" t="s">
        <v>41</v>
      </c>
      <c r="D2" s="93" t="s">
        <v>42</v>
      </c>
      <c r="E2" s="93" t="s">
        <v>58</v>
      </c>
      <c r="F2" s="93" t="s">
        <v>43</v>
      </c>
      <c r="G2" s="93" t="s">
        <v>67</v>
      </c>
      <c r="H2" s="93" t="s">
        <v>45</v>
      </c>
      <c r="I2" s="93" t="s">
        <v>46</v>
      </c>
      <c r="J2" s="93" t="s">
        <v>47</v>
      </c>
      <c r="K2" s="93" t="s">
        <v>48</v>
      </c>
    </row>
    <row r="3" spans="2:12" x14ac:dyDescent="0.3">
      <c r="B3" s="95" t="s">
        <v>61</v>
      </c>
      <c r="C3" s="150">
        <v>3.15</v>
      </c>
      <c r="D3" s="150">
        <v>2.74</v>
      </c>
      <c r="E3" s="150">
        <v>2.2400000000000002</v>
      </c>
      <c r="F3" s="150">
        <v>2.9</v>
      </c>
      <c r="G3" s="150">
        <v>3.26</v>
      </c>
      <c r="H3" s="150">
        <v>2.8</v>
      </c>
      <c r="I3" s="150">
        <v>3.04</v>
      </c>
      <c r="J3" s="150">
        <v>3.1</v>
      </c>
      <c r="K3" s="150">
        <v>2.27</v>
      </c>
    </row>
    <row r="4" spans="2:12" x14ac:dyDescent="0.3">
      <c r="B4" s="95" t="s">
        <v>62</v>
      </c>
      <c r="C4" s="150">
        <v>3.2</v>
      </c>
      <c r="D4" s="150">
        <v>2.84</v>
      </c>
      <c r="E4" s="150">
        <v>2.35</v>
      </c>
      <c r="F4" s="150">
        <v>2.93</v>
      </c>
      <c r="G4" s="150">
        <v>3.32</v>
      </c>
      <c r="H4" s="150">
        <v>2.91</v>
      </c>
      <c r="I4" s="150">
        <v>3.09</v>
      </c>
      <c r="J4" s="150">
        <v>3.18</v>
      </c>
      <c r="K4" s="150">
        <v>2.37</v>
      </c>
    </row>
    <row r="5" spans="2:12" x14ac:dyDescent="0.3">
      <c r="B5" s="95" t="s">
        <v>63</v>
      </c>
      <c r="C5" s="150">
        <v>2.97</v>
      </c>
      <c r="D5" s="150">
        <v>2.4500000000000002</v>
      </c>
      <c r="E5" s="150">
        <v>1.96</v>
      </c>
      <c r="F5" s="150">
        <v>2.61</v>
      </c>
      <c r="G5" s="150">
        <v>3.22</v>
      </c>
      <c r="H5" s="150">
        <v>2.46</v>
      </c>
      <c r="I5" s="150">
        <v>2.9</v>
      </c>
      <c r="J5" s="150">
        <v>2.73</v>
      </c>
      <c r="K5" s="150">
        <v>2.06</v>
      </c>
    </row>
    <row r="6" spans="2:12" x14ac:dyDescent="0.3">
      <c r="B6" s="95" t="s">
        <v>72</v>
      </c>
      <c r="C6" s="150">
        <v>2.76</v>
      </c>
      <c r="D6" s="150">
        <v>2.29</v>
      </c>
      <c r="E6" s="150">
        <v>1.82</v>
      </c>
      <c r="F6" s="150">
        <v>2.44</v>
      </c>
      <c r="G6" s="150">
        <v>3.07</v>
      </c>
      <c r="H6" s="150">
        <v>2.29</v>
      </c>
      <c r="I6" s="150">
        <v>2.74</v>
      </c>
      <c r="J6" s="150">
        <v>2.46</v>
      </c>
      <c r="K6" s="150">
        <v>1.83</v>
      </c>
      <c r="L6" s="75"/>
    </row>
    <row r="7" spans="2:12" x14ac:dyDescent="0.3">
      <c r="B7" s="95" t="s">
        <v>131</v>
      </c>
      <c r="C7" s="150">
        <v>2.65</v>
      </c>
      <c r="D7" s="150">
        <v>2.2200000000000002</v>
      </c>
      <c r="E7" s="150">
        <v>1.72</v>
      </c>
      <c r="F7" s="150">
        <v>2.39</v>
      </c>
      <c r="G7" s="150">
        <v>2.94</v>
      </c>
      <c r="H7" s="150">
        <v>2.25</v>
      </c>
      <c r="I7" s="150">
        <v>2.64</v>
      </c>
      <c r="J7" s="150">
        <v>2.41</v>
      </c>
      <c r="K7" s="150">
        <v>1.79</v>
      </c>
    </row>
    <row r="26" spans="3:11" x14ac:dyDescent="0.3">
      <c r="C26" s="75"/>
      <c r="D26" s="75"/>
      <c r="E26" s="75"/>
      <c r="F26" s="75"/>
      <c r="G26" s="75"/>
      <c r="H26" s="75"/>
      <c r="I26" s="75"/>
      <c r="J26" s="75"/>
      <c r="K26" s="75"/>
    </row>
    <row r="27" spans="3:11" x14ac:dyDescent="0.3">
      <c r="C27" s="75"/>
      <c r="D27" s="75"/>
      <c r="E27" s="75"/>
      <c r="F27" s="75"/>
      <c r="G27" s="75"/>
      <c r="H27" s="75"/>
      <c r="I27" s="75"/>
      <c r="J27" s="75"/>
      <c r="K27" s="75"/>
    </row>
    <row r="28" spans="3:11" x14ac:dyDescent="0.3">
      <c r="C28" s="75"/>
      <c r="D28" s="75"/>
      <c r="E28" s="75"/>
      <c r="F28" s="75"/>
      <c r="G28" s="75"/>
      <c r="H28" s="75"/>
      <c r="I28" s="75"/>
      <c r="J28" s="75"/>
      <c r="K28" s="75"/>
    </row>
    <row r="29" spans="3:11" x14ac:dyDescent="0.3">
      <c r="C29" s="75"/>
      <c r="D29" s="75"/>
      <c r="E29" s="75"/>
      <c r="F29" s="75"/>
      <c r="G29" s="75"/>
      <c r="H29" s="75"/>
      <c r="I29" s="75"/>
      <c r="J29" s="75"/>
      <c r="K29" s="75"/>
    </row>
    <row r="32" spans="3:11" x14ac:dyDescent="0.3">
      <c r="C32" s="76"/>
      <c r="D32" s="76"/>
      <c r="E32" s="76"/>
      <c r="F32" s="76"/>
      <c r="G32" s="76"/>
      <c r="H32" s="76"/>
      <c r="I32" s="76"/>
      <c r="J32" s="76"/>
      <c r="K32" s="76"/>
    </row>
    <row r="33" spans="3:11" x14ac:dyDescent="0.3">
      <c r="C33" s="76"/>
      <c r="D33" s="76"/>
      <c r="E33" s="76"/>
      <c r="F33" s="76"/>
      <c r="G33" s="76"/>
      <c r="H33" s="76"/>
      <c r="I33" s="76"/>
      <c r="J33" s="76"/>
      <c r="K33" s="76"/>
    </row>
    <row r="34" spans="3:11" x14ac:dyDescent="0.3">
      <c r="C34" s="76"/>
      <c r="D34" s="76"/>
      <c r="E34" s="76"/>
      <c r="F34" s="76"/>
      <c r="G34" s="76"/>
      <c r="H34" s="76"/>
      <c r="I34" s="76"/>
      <c r="J34" s="76"/>
      <c r="K34" s="76"/>
    </row>
    <row r="35" spans="3:11" x14ac:dyDescent="0.3">
      <c r="C35" s="76"/>
      <c r="D35" s="76"/>
      <c r="E35" s="76"/>
      <c r="F35" s="76"/>
      <c r="G35" s="76"/>
      <c r="H35" s="76"/>
      <c r="I35" s="76"/>
      <c r="J35" s="76"/>
      <c r="K35" s="76"/>
    </row>
  </sheetData>
  <mergeCells count="1">
    <mergeCell ref="C1:K1"/>
  </mergeCells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K17"/>
  <sheetViews>
    <sheetView workbookViewId="0">
      <selection activeCell="C12" sqref="C12:K16"/>
    </sheetView>
  </sheetViews>
  <sheetFormatPr defaultColWidth="9.109375" defaultRowHeight="14.4" x14ac:dyDescent="0.3"/>
  <cols>
    <col min="1" max="16384" width="9.109375" style="51"/>
  </cols>
  <sheetData>
    <row r="2" spans="2:11" x14ac:dyDescent="0.3">
      <c r="B2" s="85" t="s">
        <v>65</v>
      </c>
      <c r="C2" s="80"/>
      <c r="D2" s="80"/>
      <c r="E2" s="80"/>
      <c r="F2" s="80"/>
      <c r="G2" s="80"/>
      <c r="H2" s="80"/>
      <c r="I2" s="80"/>
      <c r="J2" s="80"/>
      <c r="K2" s="80"/>
    </row>
    <row r="3" spans="2:11" x14ac:dyDescent="0.3">
      <c r="B3" s="85"/>
      <c r="C3" s="80"/>
      <c r="D3" s="80"/>
      <c r="E3" s="80"/>
      <c r="F3" s="80"/>
      <c r="G3" s="80"/>
      <c r="H3" s="80"/>
      <c r="I3" s="80"/>
      <c r="J3" s="80"/>
      <c r="K3" s="80"/>
    </row>
    <row r="4" spans="2:11" x14ac:dyDescent="0.3">
      <c r="B4" s="93"/>
      <c r="C4" s="93" t="s">
        <v>41</v>
      </c>
      <c r="D4" s="93" t="s">
        <v>42</v>
      </c>
      <c r="E4" s="93" t="s">
        <v>58</v>
      </c>
      <c r="F4" s="93" t="s">
        <v>43</v>
      </c>
      <c r="G4" s="93" t="s">
        <v>67</v>
      </c>
      <c r="H4" s="93" t="s">
        <v>45</v>
      </c>
      <c r="I4" s="93" t="s">
        <v>46</v>
      </c>
      <c r="J4" s="93" t="s">
        <v>47</v>
      </c>
      <c r="K4" s="93" t="s">
        <v>48</v>
      </c>
    </row>
    <row r="5" spans="2:11" x14ac:dyDescent="0.3">
      <c r="B5" s="93" t="s">
        <v>61</v>
      </c>
      <c r="C5" s="94">
        <v>51.4</v>
      </c>
      <c r="D5" s="94">
        <v>43.1</v>
      </c>
      <c r="E5" s="94">
        <v>54.8</v>
      </c>
      <c r="F5" s="94">
        <v>45.5</v>
      </c>
      <c r="G5" s="94">
        <v>52.8</v>
      </c>
      <c r="H5" s="94">
        <v>50.7</v>
      </c>
      <c r="I5" s="94">
        <v>49.8</v>
      </c>
      <c r="J5" s="94">
        <v>45.8</v>
      </c>
      <c r="K5" s="94">
        <v>58.2</v>
      </c>
    </row>
    <row r="6" spans="2:11" x14ac:dyDescent="0.3">
      <c r="B6" s="93" t="s">
        <v>62</v>
      </c>
      <c r="C6" s="94">
        <v>54.1</v>
      </c>
      <c r="D6" s="94">
        <v>46</v>
      </c>
      <c r="E6" s="94">
        <v>57.3</v>
      </c>
      <c r="F6" s="94">
        <v>48.7</v>
      </c>
      <c r="G6" s="94">
        <v>55</v>
      </c>
      <c r="H6" s="94">
        <v>53.5</v>
      </c>
      <c r="I6" s="94">
        <v>51.5</v>
      </c>
      <c r="J6" s="94">
        <v>49</v>
      </c>
      <c r="K6" s="94">
        <v>61.3</v>
      </c>
    </row>
    <row r="7" spans="2:11" x14ac:dyDescent="0.3">
      <c r="B7" s="93" t="s">
        <v>63</v>
      </c>
      <c r="C7" s="94">
        <v>59.6</v>
      </c>
      <c r="D7" s="94">
        <v>54.5</v>
      </c>
      <c r="E7" s="94">
        <v>62.8</v>
      </c>
      <c r="F7" s="94">
        <v>56.7</v>
      </c>
      <c r="G7" s="94">
        <v>60.3</v>
      </c>
      <c r="H7" s="94">
        <v>59.9</v>
      </c>
      <c r="I7" s="94">
        <v>57.6</v>
      </c>
      <c r="J7" s="94">
        <v>56.8</v>
      </c>
      <c r="K7" s="94">
        <v>65</v>
      </c>
    </row>
    <row r="8" spans="2:11" x14ac:dyDescent="0.3">
      <c r="B8" s="93" t="s">
        <v>72</v>
      </c>
      <c r="C8" s="94">
        <v>60</v>
      </c>
      <c r="D8" s="94">
        <v>55.5</v>
      </c>
      <c r="E8" s="94">
        <v>63.5</v>
      </c>
      <c r="F8" s="94">
        <v>57.5</v>
      </c>
      <c r="G8" s="94">
        <v>61.5</v>
      </c>
      <c r="H8" s="94">
        <v>61.1</v>
      </c>
      <c r="I8" s="94">
        <v>57.9</v>
      </c>
      <c r="J8" s="94">
        <v>57.6</v>
      </c>
      <c r="K8" s="94">
        <v>66</v>
      </c>
    </row>
    <row r="9" spans="2:11" x14ac:dyDescent="0.3">
      <c r="B9" s="93" t="s">
        <v>131</v>
      </c>
      <c r="C9" s="94">
        <v>61.5</v>
      </c>
      <c r="D9" s="94">
        <v>57.3</v>
      </c>
      <c r="E9" s="94">
        <v>65.3</v>
      </c>
      <c r="F9" s="94">
        <v>59.3</v>
      </c>
      <c r="G9" s="94">
        <v>64</v>
      </c>
      <c r="H9" s="94">
        <v>62.8</v>
      </c>
      <c r="I9" s="94">
        <v>59.5</v>
      </c>
      <c r="J9" s="94">
        <v>59.7</v>
      </c>
      <c r="K9" s="94">
        <v>67.599999999999994</v>
      </c>
    </row>
    <row r="10" spans="2:11" x14ac:dyDescent="0.3">
      <c r="B10" s="85" t="s">
        <v>66</v>
      </c>
      <c r="C10" s="74"/>
      <c r="D10" s="74"/>
      <c r="E10" s="74"/>
      <c r="F10" s="74"/>
      <c r="G10" s="74"/>
      <c r="H10" s="74"/>
      <c r="I10" s="74"/>
      <c r="J10" s="74"/>
      <c r="K10" s="74"/>
    </row>
    <row r="11" spans="2:11" x14ac:dyDescent="0.3">
      <c r="B11" s="93"/>
      <c r="C11" s="93" t="s">
        <v>41</v>
      </c>
      <c r="D11" s="93" t="s">
        <v>42</v>
      </c>
      <c r="E11" s="93" t="s">
        <v>58</v>
      </c>
      <c r="F11" s="93" t="s">
        <v>43</v>
      </c>
      <c r="G11" s="93" t="s">
        <v>67</v>
      </c>
      <c r="H11" s="93" t="s">
        <v>45</v>
      </c>
      <c r="I11" s="93" t="s">
        <v>46</v>
      </c>
      <c r="J11" s="93" t="s">
        <v>47</v>
      </c>
      <c r="K11" s="93" t="s">
        <v>48</v>
      </c>
    </row>
    <row r="12" spans="2:11" x14ac:dyDescent="0.3">
      <c r="B12" s="93" t="s">
        <v>61</v>
      </c>
      <c r="C12" s="94">
        <v>55.9</v>
      </c>
      <c r="D12" s="94">
        <v>48.2</v>
      </c>
      <c r="E12" s="94">
        <v>59.7</v>
      </c>
      <c r="F12" s="94">
        <v>50.6</v>
      </c>
      <c r="G12" s="94">
        <v>57.3</v>
      </c>
      <c r="H12" s="94">
        <v>55.1</v>
      </c>
      <c r="I12" s="94">
        <v>55</v>
      </c>
      <c r="J12" s="94">
        <v>50.7</v>
      </c>
      <c r="K12" s="94">
        <v>62.6</v>
      </c>
    </row>
    <row r="13" spans="2:11" x14ac:dyDescent="0.3">
      <c r="B13" s="93" t="s">
        <v>62</v>
      </c>
      <c r="C13" s="94">
        <v>59.2</v>
      </c>
      <c r="D13" s="94">
        <v>52.5</v>
      </c>
      <c r="E13" s="94">
        <v>62.5</v>
      </c>
      <c r="F13" s="94">
        <v>54.3</v>
      </c>
      <c r="G13" s="94">
        <v>60.1</v>
      </c>
      <c r="H13" s="94">
        <v>58.3</v>
      </c>
      <c r="I13" s="94">
        <v>57.8</v>
      </c>
      <c r="J13" s="94">
        <v>54.7</v>
      </c>
      <c r="K13" s="94">
        <v>65.599999999999994</v>
      </c>
    </row>
    <row r="14" spans="2:11" x14ac:dyDescent="0.3">
      <c r="B14" s="93" t="s">
        <v>63</v>
      </c>
      <c r="C14" s="94">
        <v>65</v>
      </c>
      <c r="D14" s="94">
        <v>61.4</v>
      </c>
      <c r="E14" s="94">
        <v>68.400000000000006</v>
      </c>
      <c r="F14" s="94">
        <v>63.2</v>
      </c>
      <c r="G14" s="94">
        <v>66</v>
      </c>
      <c r="H14" s="94">
        <v>65.099999999999994</v>
      </c>
      <c r="I14" s="94">
        <v>64</v>
      </c>
      <c r="J14" s="94">
        <v>63.3</v>
      </c>
      <c r="K14" s="94">
        <v>69.7</v>
      </c>
    </row>
    <row r="15" spans="2:11" x14ac:dyDescent="0.3">
      <c r="B15" s="93" t="s">
        <v>72</v>
      </c>
      <c r="C15" s="94">
        <v>65.7</v>
      </c>
      <c r="D15" s="94">
        <v>62.4</v>
      </c>
      <c r="E15" s="94">
        <v>69.099999999999994</v>
      </c>
      <c r="F15" s="94">
        <v>63.8</v>
      </c>
      <c r="G15" s="94">
        <v>66.5</v>
      </c>
      <c r="H15" s="94">
        <v>66.400000000000006</v>
      </c>
      <c r="I15" s="94">
        <v>64.7</v>
      </c>
      <c r="J15" s="94">
        <v>64</v>
      </c>
      <c r="K15" s="94">
        <v>71.2</v>
      </c>
    </row>
    <row r="16" spans="2:11" x14ac:dyDescent="0.3">
      <c r="B16" s="93" t="s">
        <v>131</v>
      </c>
      <c r="C16" s="94">
        <v>67.599999999999994</v>
      </c>
      <c r="D16" s="94">
        <v>64.2</v>
      </c>
      <c r="E16" s="94">
        <v>71.2</v>
      </c>
      <c r="F16" s="94">
        <v>65.400000000000006</v>
      </c>
      <c r="G16" s="94">
        <v>68.7</v>
      </c>
      <c r="H16" s="94">
        <v>67.7</v>
      </c>
      <c r="I16" s="94">
        <v>66.2</v>
      </c>
      <c r="J16" s="94">
        <v>66</v>
      </c>
      <c r="K16" s="94">
        <v>72.2</v>
      </c>
    </row>
    <row r="17" spans="3:11" x14ac:dyDescent="0.3">
      <c r="C17" s="74"/>
      <c r="D17" s="74"/>
      <c r="E17" s="74"/>
      <c r="F17" s="74"/>
      <c r="G17" s="74"/>
      <c r="H17" s="74"/>
      <c r="I17" s="74"/>
      <c r="J17" s="74"/>
      <c r="K17" s="74"/>
    </row>
  </sheetData>
  <pageMargins left="0.7" right="0.7" top="0.75" bottom="0.75" header="0.3" footer="0.3"/>
  <pageSetup paperSize="9" scale="68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5"/>
  <sheetViews>
    <sheetView zoomScale="99" zoomScaleNormal="99" workbookViewId="0">
      <selection activeCell="J30" sqref="J30"/>
    </sheetView>
  </sheetViews>
  <sheetFormatPr defaultColWidth="9.109375" defaultRowHeight="14.4" x14ac:dyDescent="0.3"/>
  <cols>
    <col min="1" max="1" width="19.6640625" style="80" customWidth="1"/>
    <col min="2" max="2" width="14.33203125" style="80" customWidth="1"/>
    <col min="3" max="24" width="11.21875" style="80" bestFit="1" customWidth="1"/>
    <col min="25" max="16384" width="9.109375" style="80"/>
  </cols>
  <sheetData>
    <row r="1" spans="1:26" x14ac:dyDescent="0.3">
      <c r="A1" s="95"/>
      <c r="B1" s="128" t="s">
        <v>96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6"/>
    </row>
    <row r="2" spans="1:26" x14ac:dyDescent="0.3">
      <c r="A2" s="95"/>
      <c r="B2" s="93">
        <v>2002</v>
      </c>
      <c r="C2" s="93">
        <v>2003</v>
      </c>
      <c r="D2" s="93">
        <v>2004</v>
      </c>
      <c r="E2" s="93">
        <v>2005</v>
      </c>
      <c r="F2" s="93">
        <v>2006</v>
      </c>
      <c r="G2" s="93">
        <v>2007</v>
      </c>
      <c r="H2" s="93">
        <v>2008</v>
      </c>
      <c r="I2" s="93">
        <v>2009</v>
      </c>
      <c r="J2" s="93">
        <v>2010</v>
      </c>
      <c r="K2" s="93">
        <v>2011</v>
      </c>
      <c r="L2" s="93">
        <v>2012</v>
      </c>
      <c r="M2" s="93">
        <v>2013</v>
      </c>
      <c r="N2" s="93">
        <v>2014</v>
      </c>
      <c r="O2" s="93">
        <v>2015</v>
      </c>
      <c r="P2" s="93">
        <v>2016</v>
      </c>
      <c r="Q2" s="93">
        <v>2017</v>
      </c>
      <c r="R2" s="93">
        <v>2018</v>
      </c>
      <c r="S2" s="93">
        <v>2019</v>
      </c>
      <c r="T2" s="93">
        <v>2020</v>
      </c>
      <c r="U2" s="93">
        <v>2021</v>
      </c>
      <c r="V2" s="93">
        <v>2022</v>
      </c>
      <c r="W2" s="93">
        <v>2023</v>
      </c>
      <c r="X2" s="93">
        <v>2024</v>
      </c>
      <c r="Y2" s="93">
        <v>2025</v>
      </c>
    </row>
    <row r="3" spans="1:26" x14ac:dyDescent="0.3">
      <c r="A3" s="95" t="s">
        <v>50</v>
      </c>
      <c r="B3" s="94">
        <v>36.799999999999997</v>
      </c>
      <c r="C3" s="94">
        <v>35.799999999999997</v>
      </c>
      <c r="D3" s="94">
        <v>34.9</v>
      </c>
      <c r="E3" s="94">
        <v>34.299999999999997</v>
      </c>
      <c r="F3" s="94">
        <v>33.700000000000003</v>
      </c>
      <c r="G3" s="94">
        <v>33.200000000000003</v>
      </c>
      <c r="H3" s="94">
        <v>32.799999999999997</v>
      </c>
      <c r="I3" s="94">
        <v>32.5</v>
      </c>
      <c r="J3" s="94">
        <v>32.1</v>
      </c>
      <c r="K3" s="94">
        <v>31.9</v>
      </c>
      <c r="L3" s="94">
        <v>31.7</v>
      </c>
      <c r="M3" s="94">
        <v>31.7</v>
      </c>
      <c r="N3" s="94">
        <v>31.7</v>
      </c>
      <c r="O3" s="94">
        <v>31.7</v>
      </c>
      <c r="P3" s="94">
        <v>31.7</v>
      </c>
      <c r="Q3" s="94">
        <v>31.6</v>
      </c>
      <c r="R3" s="94">
        <v>31.6</v>
      </c>
      <c r="S3" s="94">
        <v>31.5</v>
      </c>
      <c r="T3" s="94">
        <v>31.4</v>
      </c>
      <c r="U3" s="94">
        <v>31.3</v>
      </c>
      <c r="V3" s="94">
        <v>31.1</v>
      </c>
      <c r="W3" s="94">
        <v>30.8</v>
      </c>
      <c r="X3" s="94">
        <v>30.5</v>
      </c>
      <c r="Y3" s="94">
        <v>30.2</v>
      </c>
      <c r="Z3" s="80">
        <v>13.148862360161065</v>
      </c>
    </row>
    <row r="4" spans="1:26" x14ac:dyDescent="0.3">
      <c r="A4" s="95" t="s">
        <v>10</v>
      </c>
      <c r="B4" s="94">
        <v>31.3</v>
      </c>
      <c r="C4" s="94">
        <v>30.6</v>
      </c>
      <c r="D4" s="94">
        <v>30.1</v>
      </c>
      <c r="E4" s="94">
        <v>29.7</v>
      </c>
      <c r="F4" s="94">
        <v>29.4</v>
      </c>
      <c r="G4" s="94">
        <v>29.2</v>
      </c>
      <c r="H4" s="94">
        <v>29</v>
      </c>
      <c r="I4" s="94">
        <v>29</v>
      </c>
      <c r="J4" s="94">
        <v>28.9</v>
      </c>
      <c r="K4" s="94">
        <v>28.9</v>
      </c>
      <c r="L4" s="94">
        <v>28.8</v>
      </c>
      <c r="M4" s="94">
        <v>28.8</v>
      </c>
      <c r="N4" s="94">
        <v>28.7</v>
      </c>
      <c r="O4" s="94">
        <v>28.6</v>
      </c>
      <c r="P4" s="94">
        <v>28.4</v>
      </c>
      <c r="Q4" s="94">
        <v>28.2</v>
      </c>
      <c r="R4" s="94">
        <v>28.1</v>
      </c>
      <c r="S4" s="94">
        <v>28</v>
      </c>
      <c r="T4" s="94">
        <v>27.8</v>
      </c>
      <c r="U4" s="94">
        <v>27.6</v>
      </c>
      <c r="V4" s="94">
        <v>27.4</v>
      </c>
      <c r="W4" s="94">
        <v>27.1</v>
      </c>
      <c r="X4" s="94">
        <v>26.7</v>
      </c>
      <c r="Y4" s="94">
        <v>26.4</v>
      </c>
      <c r="Z4" s="80">
        <v>4.9171689255377142</v>
      </c>
    </row>
    <row r="5" spans="1:26" x14ac:dyDescent="0.3">
      <c r="A5" s="95" t="s">
        <v>11</v>
      </c>
      <c r="B5" s="94">
        <v>24.7</v>
      </c>
      <c r="C5" s="94">
        <v>24.2</v>
      </c>
      <c r="D5" s="94">
        <v>23.8</v>
      </c>
      <c r="E5" s="94">
        <v>23.5</v>
      </c>
      <c r="F5" s="94">
        <v>23.4</v>
      </c>
      <c r="G5" s="94">
        <v>23.3</v>
      </c>
      <c r="H5" s="94">
        <v>23.3</v>
      </c>
      <c r="I5" s="94">
        <v>23.3</v>
      </c>
      <c r="J5" s="94">
        <v>23.4</v>
      </c>
      <c r="K5" s="94">
        <v>23.4</v>
      </c>
      <c r="L5" s="94">
        <v>23.6</v>
      </c>
      <c r="M5" s="94">
        <v>23.7</v>
      </c>
      <c r="N5" s="94">
        <v>23.7</v>
      </c>
      <c r="O5" s="94">
        <v>23.7</v>
      </c>
      <c r="P5" s="94">
        <v>23.7</v>
      </c>
      <c r="Q5" s="94">
        <v>23.6</v>
      </c>
      <c r="R5" s="94">
        <v>23.6</v>
      </c>
      <c r="S5" s="94">
        <v>23.5</v>
      </c>
      <c r="T5" s="94">
        <v>23.4</v>
      </c>
      <c r="U5" s="94">
        <v>23.3</v>
      </c>
      <c r="V5" s="94">
        <v>23.1</v>
      </c>
      <c r="W5" s="94">
        <v>22.7</v>
      </c>
      <c r="X5" s="94">
        <v>22.3</v>
      </c>
      <c r="Y5" s="94">
        <v>22</v>
      </c>
      <c r="Z5" s="80">
        <v>21.330738545919601</v>
      </c>
    </row>
    <row r="6" spans="1:26" x14ac:dyDescent="0.3">
      <c r="A6" s="95" t="s">
        <v>12</v>
      </c>
      <c r="B6" s="94">
        <v>35.4</v>
      </c>
      <c r="C6" s="94">
        <v>34.6</v>
      </c>
      <c r="D6" s="94">
        <v>34</v>
      </c>
      <c r="E6" s="94">
        <v>33.4</v>
      </c>
      <c r="F6" s="94">
        <v>32.9</v>
      </c>
      <c r="G6" s="94">
        <v>32.4</v>
      </c>
      <c r="H6" s="94">
        <v>32</v>
      </c>
      <c r="I6" s="94">
        <v>31.7</v>
      </c>
      <c r="J6" s="94">
        <v>31.4</v>
      </c>
      <c r="K6" s="94">
        <v>31.2</v>
      </c>
      <c r="L6" s="94">
        <v>31</v>
      </c>
      <c r="M6" s="94">
        <v>30.8</v>
      </c>
      <c r="N6" s="94">
        <v>30.7</v>
      </c>
      <c r="O6" s="94">
        <v>30.5</v>
      </c>
      <c r="P6" s="94">
        <v>30.3</v>
      </c>
      <c r="Q6" s="94">
        <v>30.2</v>
      </c>
      <c r="R6" s="94">
        <v>30.2</v>
      </c>
      <c r="S6" s="94">
        <v>30.1</v>
      </c>
      <c r="T6" s="94">
        <v>29.9</v>
      </c>
      <c r="U6" s="94">
        <v>29.8</v>
      </c>
      <c r="V6" s="94">
        <v>29.6</v>
      </c>
      <c r="W6" s="94">
        <v>29.3</v>
      </c>
      <c r="X6" s="94">
        <v>29</v>
      </c>
      <c r="Y6" s="94">
        <v>28.7</v>
      </c>
      <c r="Z6" s="80">
        <v>21.203462744036056</v>
      </c>
    </row>
    <row r="7" spans="1:26" x14ac:dyDescent="0.3">
      <c r="A7" s="95" t="s">
        <v>13</v>
      </c>
      <c r="B7" s="94">
        <v>39.4</v>
      </c>
      <c r="C7" s="94">
        <v>38.4</v>
      </c>
      <c r="D7" s="94">
        <v>37.5</v>
      </c>
      <c r="E7" s="94">
        <v>36.799999999999997</v>
      </c>
      <c r="F7" s="94">
        <v>36.299999999999997</v>
      </c>
      <c r="G7" s="94">
        <v>35.700000000000003</v>
      </c>
      <c r="H7" s="94">
        <v>35.200000000000003</v>
      </c>
      <c r="I7" s="94">
        <v>34.700000000000003</v>
      </c>
      <c r="J7" s="94">
        <v>34.299999999999997</v>
      </c>
      <c r="K7" s="94">
        <v>33.9</v>
      </c>
      <c r="L7" s="94">
        <v>33.6</v>
      </c>
      <c r="M7" s="94">
        <v>33.5</v>
      </c>
      <c r="N7" s="94">
        <v>33.5</v>
      </c>
      <c r="O7" s="94">
        <v>33.4</v>
      </c>
      <c r="P7" s="94">
        <v>33.299999999999997</v>
      </c>
      <c r="Q7" s="94">
        <v>33.200000000000003</v>
      </c>
      <c r="R7" s="94">
        <v>33.200000000000003</v>
      </c>
      <c r="S7" s="94">
        <v>33.1</v>
      </c>
      <c r="T7" s="94">
        <v>32.9</v>
      </c>
      <c r="U7" s="94">
        <v>32.799999999999997</v>
      </c>
      <c r="V7" s="94">
        <v>32.6</v>
      </c>
      <c r="W7" s="94">
        <v>32.299999999999997</v>
      </c>
      <c r="X7" s="94">
        <v>32</v>
      </c>
      <c r="Y7" s="94">
        <v>31.7</v>
      </c>
      <c r="Z7" s="80">
        <v>12.180968922972278</v>
      </c>
    </row>
    <row r="8" spans="1:26" x14ac:dyDescent="0.3">
      <c r="A8" s="95" t="s">
        <v>14</v>
      </c>
      <c r="B8" s="94">
        <v>36.299999999999997</v>
      </c>
      <c r="C8" s="94">
        <v>35.299999999999997</v>
      </c>
      <c r="D8" s="94">
        <v>34.4</v>
      </c>
      <c r="E8" s="94">
        <v>33.6</v>
      </c>
      <c r="F8" s="94">
        <v>32.9</v>
      </c>
      <c r="G8" s="94">
        <v>32.200000000000003</v>
      </c>
      <c r="H8" s="94">
        <v>31.8</v>
      </c>
      <c r="I8" s="94">
        <v>31.4</v>
      </c>
      <c r="J8" s="94">
        <v>31.1</v>
      </c>
      <c r="K8" s="94">
        <v>30.8</v>
      </c>
      <c r="L8" s="94">
        <v>30.5</v>
      </c>
      <c r="M8" s="94">
        <v>30.3</v>
      </c>
      <c r="N8" s="94">
        <v>29.9</v>
      </c>
      <c r="O8" s="94">
        <v>29.5</v>
      </c>
      <c r="P8" s="94">
        <v>29.1</v>
      </c>
      <c r="Q8" s="94">
        <v>28.7</v>
      </c>
      <c r="R8" s="94">
        <v>28.6</v>
      </c>
      <c r="S8" s="94">
        <v>28.5</v>
      </c>
      <c r="T8" s="94">
        <v>28.2</v>
      </c>
      <c r="U8" s="94">
        <v>28</v>
      </c>
      <c r="V8" s="94">
        <v>27.7</v>
      </c>
      <c r="W8" s="94">
        <v>27.3</v>
      </c>
      <c r="X8" s="94">
        <v>26.9</v>
      </c>
      <c r="Y8" s="94">
        <v>26.5</v>
      </c>
      <c r="Z8" s="80">
        <v>8.1564967468242653</v>
      </c>
    </row>
    <row r="9" spans="1:26" x14ac:dyDescent="0.3">
      <c r="A9" s="95" t="s">
        <v>15</v>
      </c>
      <c r="B9" s="94">
        <v>32.6</v>
      </c>
      <c r="C9" s="94">
        <v>31.9</v>
      </c>
      <c r="D9" s="94">
        <v>31.4</v>
      </c>
      <c r="E9" s="94">
        <v>31</v>
      </c>
      <c r="F9" s="94">
        <v>30.7</v>
      </c>
      <c r="G9" s="94">
        <v>30.4</v>
      </c>
      <c r="H9" s="94">
        <v>30.2</v>
      </c>
      <c r="I9" s="94">
        <v>30.1</v>
      </c>
      <c r="J9" s="94">
        <v>30</v>
      </c>
      <c r="K9" s="94">
        <v>29.9</v>
      </c>
      <c r="L9" s="94">
        <v>29.8</v>
      </c>
      <c r="M9" s="94">
        <v>29.8</v>
      </c>
      <c r="N9" s="94">
        <v>29.7</v>
      </c>
      <c r="O9" s="94">
        <v>29.6</v>
      </c>
      <c r="P9" s="94">
        <v>29.5</v>
      </c>
      <c r="Q9" s="94">
        <v>29.4</v>
      </c>
      <c r="R9" s="94">
        <v>29.3</v>
      </c>
      <c r="S9" s="94">
        <v>29.2</v>
      </c>
      <c r="T9" s="94">
        <v>29</v>
      </c>
      <c r="U9" s="94">
        <v>28.9</v>
      </c>
      <c r="V9" s="94">
        <v>28.7</v>
      </c>
      <c r="W9" s="94">
        <v>28.5</v>
      </c>
      <c r="X9" s="94">
        <v>28.2</v>
      </c>
      <c r="Y9" s="94">
        <v>28</v>
      </c>
      <c r="Z9" s="80">
        <v>2.322360739090521</v>
      </c>
    </row>
    <row r="10" spans="1:26" x14ac:dyDescent="0.3">
      <c r="A10" s="95" t="s">
        <v>16</v>
      </c>
      <c r="B10" s="94">
        <v>31.7</v>
      </c>
      <c r="C10" s="94">
        <v>31.1</v>
      </c>
      <c r="D10" s="94">
        <v>30.6</v>
      </c>
      <c r="E10" s="94">
        <v>30.3</v>
      </c>
      <c r="F10" s="94">
        <v>30.1</v>
      </c>
      <c r="G10" s="94">
        <v>29.9</v>
      </c>
      <c r="H10" s="94">
        <v>29.8</v>
      </c>
      <c r="I10" s="94">
        <v>29.8</v>
      </c>
      <c r="J10" s="94">
        <v>29.7</v>
      </c>
      <c r="K10" s="94">
        <v>29.7</v>
      </c>
      <c r="L10" s="94">
        <v>29.6</v>
      </c>
      <c r="M10" s="94">
        <v>29.6</v>
      </c>
      <c r="N10" s="94">
        <v>29.6</v>
      </c>
      <c r="O10" s="94">
        <v>29.4</v>
      </c>
      <c r="P10" s="94">
        <v>29.2</v>
      </c>
      <c r="Q10" s="94">
        <v>29</v>
      </c>
      <c r="R10" s="94">
        <v>28.9</v>
      </c>
      <c r="S10" s="94">
        <v>28.6</v>
      </c>
      <c r="T10" s="94">
        <v>28.3</v>
      </c>
      <c r="U10" s="94">
        <v>28.1</v>
      </c>
      <c r="V10" s="94">
        <v>27.7</v>
      </c>
      <c r="W10" s="94">
        <v>27.3</v>
      </c>
      <c r="X10" s="94">
        <v>26.9</v>
      </c>
      <c r="Y10" s="94">
        <v>26.6</v>
      </c>
      <c r="Z10" s="80">
        <v>6.7151930519727658</v>
      </c>
    </row>
    <row r="11" spans="1:26" x14ac:dyDescent="0.3">
      <c r="A11" s="95" t="s">
        <v>51</v>
      </c>
      <c r="B11" s="94">
        <v>27.8</v>
      </c>
      <c r="C11" s="94">
        <v>27.2</v>
      </c>
      <c r="D11" s="94">
        <v>26.7</v>
      </c>
      <c r="E11" s="94">
        <v>26.3</v>
      </c>
      <c r="F11" s="94">
        <v>25.9</v>
      </c>
      <c r="G11" s="94">
        <v>25.6</v>
      </c>
      <c r="H11" s="94">
        <v>25.4</v>
      </c>
      <c r="I11" s="94">
        <v>25.3</v>
      </c>
      <c r="J11" s="94">
        <v>25.1</v>
      </c>
      <c r="K11" s="94">
        <v>25.1</v>
      </c>
      <c r="L11" s="94">
        <v>25</v>
      </c>
      <c r="M11" s="94">
        <v>24.9</v>
      </c>
      <c r="N11" s="94">
        <v>24.8</v>
      </c>
      <c r="O11" s="94">
        <v>24.5</v>
      </c>
      <c r="P11" s="94">
        <v>24.3</v>
      </c>
      <c r="Q11" s="94">
        <v>24.1</v>
      </c>
      <c r="R11" s="94">
        <v>23.9</v>
      </c>
      <c r="S11" s="94">
        <v>23.7</v>
      </c>
      <c r="T11" s="94">
        <v>23.4</v>
      </c>
      <c r="U11" s="94">
        <v>23.2</v>
      </c>
      <c r="V11" s="94">
        <v>22.9</v>
      </c>
      <c r="W11" s="94">
        <v>22.4</v>
      </c>
      <c r="X11" s="94">
        <v>22</v>
      </c>
      <c r="Y11" s="94">
        <v>21.6</v>
      </c>
      <c r="Z11" s="80">
        <v>10.024747963485742</v>
      </c>
    </row>
    <row r="12" spans="1:26" x14ac:dyDescent="0.3">
      <c r="A12" s="95" t="s">
        <v>95</v>
      </c>
      <c r="B12" s="94">
        <v>32.6</v>
      </c>
      <c r="C12" s="94">
        <v>31.8</v>
      </c>
      <c r="D12" s="94">
        <v>31.1</v>
      </c>
      <c r="E12" s="94">
        <v>30.6</v>
      </c>
      <c r="F12" s="94">
        <v>30.1</v>
      </c>
      <c r="G12" s="94">
        <v>29.8</v>
      </c>
      <c r="H12" s="94">
        <v>29.5</v>
      </c>
      <c r="I12" s="94">
        <v>29.2</v>
      </c>
      <c r="J12" s="94">
        <v>29</v>
      </c>
      <c r="K12" s="94">
        <v>28.8</v>
      </c>
      <c r="L12" s="94">
        <v>28.7</v>
      </c>
      <c r="M12" s="94">
        <v>28.6</v>
      </c>
      <c r="N12" s="94">
        <v>28.5</v>
      </c>
      <c r="O12" s="94">
        <v>28.4</v>
      </c>
      <c r="P12" s="94">
        <v>28.2</v>
      </c>
      <c r="Q12" s="94">
        <v>28</v>
      </c>
      <c r="R12" s="94">
        <v>28</v>
      </c>
      <c r="S12" s="94">
        <v>27.9</v>
      </c>
      <c r="T12" s="94">
        <v>27.7</v>
      </c>
      <c r="U12" s="94">
        <v>27.5</v>
      </c>
      <c r="V12" s="94">
        <v>27.2</v>
      </c>
      <c r="W12" s="94">
        <v>26.9</v>
      </c>
      <c r="X12" s="94">
        <v>26.5</v>
      </c>
      <c r="Y12" s="94">
        <v>26.2</v>
      </c>
      <c r="Z12" s="80">
        <v>100</v>
      </c>
    </row>
    <row r="25" spans="2:24" x14ac:dyDescent="0.3"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x14ac:dyDescent="0.3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x14ac:dyDescent="0.3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</row>
    <row r="28" spans="2:24" x14ac:dyDescent="0.3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</row>
    <row r="29" spans="2:24" x14ac:dyDescent="0.3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</row>
    <row r="30" spans="2:24" x14ac:dyDescent="0.3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2:24" x14ac:dyDescent="0.3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2" spans="2:24" x14ac:dyDescent="0.3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</row>
    <row r="33" spans="2:24" x14ac:dyDescent="0.3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</row>
    <row r="34" spans="2:24" x14ac:dyDescent="0.3"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</row>
    <row r="35" spans="2:24" x14ac:dyDescent="0.3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</row>
  </sheetData>
  <mergeCells count="1">
    <mergeCell ref="B1:U1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35"/>
  <sheetViews>
    <sheetView workbookViewId="0">
      <selection activeCell="F20" sqref="F20"/>
    </sheetView>
  </sheetViews>
  <sheetFormatPr defaultColWidth="9.109375" defaultRowHeight="14.4" x14ac:dyDescent="0.3"/>
  <cols>
    <col min="1" max="1" width="13.33203125" style="51" customWidth="1"/>
    <col min="2" max="2" width="9.109375" style="51" bestFit="1" customWidth="1"/>
    <col min="3" max="20" width="9" style="51" bestFit="1" customWidth="1"/>
    <col min="21" max="16384" width="9.109375" style="51"/>
  </cols>
  <sheetData>
    <row r="1" spans="1:25" ht="21.6" customHeight="1" x14ac:dyDescent="0.3">
      <c r="B1" s="130" t="s">
        <v>94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</row>
    <row r="2" spans="1:25" x14ac:dyDescent="0.3">
      <c r="A2" s="93"/>
      <c r="B2" s="89">
        <v>2002</v>
      </c>
      <c r="C2" s="93">
        <v>2003</v>
      </c>
      <c r="D2" s="93">
        <v>2004</v>
      </c>
      <c r="E2" s="93">
        <v>2005</v>
      </c>
      <c r="F2" s="93">
        <v>2006</v>
      </c>
      <c r="G2" s="93">
        <v>2007</v>
      </c>
      <c r="H2" s="93">
        <v>2008</v>
      </c>
      <c r="I2" s="93">
        <v>2009</v>
      </c>
      <c r="J2" s="93">
        <v>2010</v>
      </c>
      <c r="K2" s="93">
        <v>2011</v>
      </c>
      <c r="L2" s="93">
        <v>2012</v>
      </c>
      <c r="M2" s="93">
        <v>2013</v>
      </c>
      <c r="N2" s="93">
        <v>2014</v>
      </c>
      <c r="O2" s="93">
        <v>2015</v>
      </c>
      <c r="P2" s="93">
        <v>2016</v>
      </c>
      <c r="Q2" s="93">
        <v>2017</v>
      </c>
      <c r="R2" s="93">
        <v>2018</v>
      </c>
      <c r="S2" s="93">
        <v>2019</v>
      </c>
      <c r="T2" s="93">
        <v>2020</v>
      </c>
      <c r="U2" s="93">
        <v>2021</v>
      </c>
      <c r="V2" s="93">
        <v>2022</v>
      </c>
      <c r="W2" s="93">
        <v>2023</v>
      </c>
      <c r="X2" s="93">
        <v>2024</v>
      </c>
      <c r="Y2" s="93">
        <v>2025</v>
      </c>
    </row>
    <row r="3" spans="1:25" x14ac:dyDescent="0.3">
      <c r="A3" s="93" t="s">
        <v>50</v>
      </c>
      <c r="B3" s="96">
        <v>9.6</v>
      </c>
      <c r="C3" s="97">
        <v>9.6999999999999993</v>
      </c>
      <c r="D3" s="97">
        <v>9.8000000000000007</v>
      </c>
      <c r="E3" s="97">
        <v>9.9</v>
      </c>
      <c r="F3" s="97">
        <v>9.9</v>
      </c>
      <c r="G3" s="97">
        <v>10</v>
      </c>
      <c r="H3" s="97">
        <v>10.1</v>
      </c>
      <c r="I3" s="97">
        <v>10.199999999999999</v>
      </c>
      <c r="J3" s="97">
        <v>10.4</v>
      </c>
      <c r="K3" s="97">
        <v>10.5</v>
      </c>
      <c r="L3" s="97">
        <v>10.7</v>
      </c>
      <c r="M3" s="97">
        <v>10.9</v>
      </c>
      <c r="N3" s="97">
        <v>11.1</v>
      </c>
      <c r="O3" s="97">
        <v>11.2</v>
      </c>
      <c r="P3" s="97">
        <v>11.4</v>
      </c>
      <c r="Q3" s="97">
        <v>11.6</v>
      </c>
      <c r="R3" s="97">
        <v>11.8</v>
      </c>
      <c r="S3" s="97">
        <v>12</v>
      </c>
      <c r="T3" s="97">
        <v>12.2</v>
      </c>
      <c r="U3" s="94">
        <v>12.3</v>
      </c>
      <c r="V3" s="94">
        <v>12.5</v>
      </c>
      <c r="W3" s="94">
        <v>12.6</v>
      </c>
      <c r="X3" s="94">
        <v>12.8</v>
      </c>
      <c r="Y3" s="94">
        <v>12.9</v>
      </c>
    </row>
    <row r="4" spans="1:25" x14ac:dyDescent="0.3">
      <c r="A4" s="93" t="s">
        <v>10</v>
      </c>
      <c r="B4" s="96">
        <v>7.7</v>
      </c>
      <c r="C4" s="97">
        <v>7.8</v>
      </c>
      <c r="D4" s="97">
        <v>7.9</v>
      </c>
      <c r="E4" s="97">
        <v>8.1</v>
      </c>
      <c r="F4" s="97">
        <v>8.3000000000000007</v>
      </c>
      <c r="G4" s="97">
        <v>8.4</v>
      </c>
      <c r="H4" s="97">
        <v>8.6</v>
      </c>
      <c r="I4" s="97">
        <v>8.8000000000000007</v>
      </c>
      <c r="J4" s="97">
        <v>8.9</v>
      </c>
      <c r="K4" s="97">
        <v>9</v>
      </c>
      <c r="L4" s="97">
        <v>9.1999999999999993</v>
      </c>
      <c r="M4" s="97">
        <v>9.3000000000000007</v>
      </c>
      <c r="N4" s="97">
        <v>9.5</v>
      </c>
      <c r="O4" s="97">
        <v>9.6999999999999993</v>
      </c>
      <c r="P4" s="97">
        <v>9.9</v>
      </c>
      <c r="Q4" s="97">
        <v>10.1</v>
      </c>
      <c r="R4" s="97">
        <v>10.199999999999999</v>
      </c>
      <c r="S4" s="97">
        <v>10.4</v>
      </c>
      <c r="T4" s="97">
        <v>10.5</v>
      </c>
      <c r="U4" s="94">
        <v>10.6</v>
      </c>
      <c r="V4" s="94">
        <v>10.7</v>
      </c>
      <c r="W4" s="94">
        <v>10.8</v>
      </c>
      <c r="X4" s="94">
        <v>11</v>
      </c>
      <c r="Y4" s="94">
        <v>11.1</v>
      </c>
    </row>
    <row r="5" spans="1:25" x14ac:dyDescent="0.3">
      <c r="A5" s="93" t="s">
        <v>11</v>
      </c>
      <c r="B5" s="96">
        <v>6.5</v>
      </c>
      <c r="C5" s="97">
        <v>6.6</v>
      </c>
      <c r="D5" s="97">
        <v>6.6</v>
      </c>
      <c r="E5" s="97">
        <v>6.7</v>
      </c>
      <c r="F5" s="97">
        <v>6.9</v>
      </c>
      <c r="G5" s="97">
        <v>7</v>
      </c>
      <c r="H5" s="97">
        <v>7.1</v>
      </c>
      <c r="I5" s="97">
        <v>7.2</v>
      </c>
      <c r="J5" s="97">
        <v>7.3</v>
      </c>
      <c r="K5" s="97">
        <v>7.4</v>
      </c>
      <c r="L5" s="97">
        <v>7.6</v>
      </c>
      <c r="M5" s="97">
        <v>7.7</v>
      </c>
      <c r="N5" s="97">
        <v>7.9</v>
      </c>
      <c r="O5" s="97">
        <v>8.1</v>
      </c>
      <c r="P5" s="97">
        <v>8.3000000000000007</v>
      </c>
      <c r="Q5" s="97">
        <v>8.5</v>
      </c>
      <c r="R5" s="97">
        <v>8.6999999999999993</v>
      </c>
      <c r="S5" s="97">
        <v>8.9</v>
      </c>
      <c r="T5" s="97">
        <v>9.1</v>
      </c>
      <c r="U5" s="94">
        <v>9.3000000000000007</v>
      </c>
      <c r="V5" s="94">
        <v>9.5</v>
      </c>
      <c r="W5" s="94">
        <v>9.6999999999999993</v>
      </c>
      <c r="X5" s="94">
        <v>10</v>
      </c>
      <c r="Y5" s="94">
        <v>10.199999999999999</v>
      </c>
    </row>
    <row r="6" spans="1:25" x14ac:dyDescent="0.3">
      <c r="A6" s="93" t="s">
        <v>12</v>
      </c>
      <c r="B6" s="96">
        <v>7.3</v>
      </c>
      <c r="C6" s="97">
        <v>7.3</v>
      </c>
      <c r="D6" s="97">
        <v>7.4</v>
      </c>
      <c r="E6" s="97">
        <v>7.5</v>
      </c>
      <c r="F6" s="97">
        <v>7.6</v>
      </c>
      <c r="G6" s="97">
        <v>7.7</v>
      </c>
      <c r="H6" s="97">
        <v>7.8</v>
      </c>
      <c r="I6" s="97">
        <v>7.9</v>
      </c>
      <c r="J6" s="97">
        <v>8</v>
      </c>
      <c r="K6" s="97">
        <v>8.1</v>
      </c>
      <c r="L6" s="97">
        <v>8.1999999999999993</v>
      </c>
      <c r="M6" s="97">
        <v>8.3000000000000007</v>
      </c>
      <c r="N6" s="97">
        <v>8.4</v>
      </c>
      <c r="O6" s="97">
        <v>8.5</v>
      </c>
      <c r="P6" s="97">
        <v>8.6</v>
      </c>
      <c r="Q6" s="97">
        <v>8.6999999999999993</v>
      </c>
      <c r="R6" s="97">
        <v>8.6999999999999993</v>
      </c>
      <c r="S6" s="97">
        <v>8.8000000000000007</v>
      </c>
      <c r="T6" s="97">
        <v>8.9</v>
      </c>
      <c r="U6" s="94">
        <v>8.9</v>
      </c>
      <c r="V6" s="94">
        <v>9</v>
      </c>
      <c r="W6" s="94">
        <v>9.1</v>
      </c>
      <c r="X6" s="94">
        <v>9.1999999999999993</v>
      </c>
      <c r="Y6" s="94">
        <v>9.1999999999999993</v>
      </c>
    </row>
    <row r="7" spans="1:25" x14ac:dyDescent="0.3">
      <c r="A7" s="93" t="s">
        <v>13</v>
      </c>
      <c r="B7" s="96">
        <v>8</v>
      </c>
      <c r="C7" s="97">
        <v>8</v>
      </c>
      <c r="D7" s="97">
        <v>8</v>
      </c>
      <c r="E7" s="97">
        <v>8</v>
      </c>
      <c r="F7" s="97">
        <v>8</v>
      </c>
      <c r="G7" s="97">
        <v>8</v>
      </c>
      <c r="H7" s="97">
        <v>8</v>
      </c>
      <c r="I7" s="97">
        <v>8.1</v>
      </c>
      <c r="J7" s="97">
        <v>8.1999999999999993</v>
      </c>
      <c r="K7" s="97">
        <v>8.3000000000000007</v>
      </c>
      <c r="L7" s="97">
        <v>8.3000000000000007</v>
      </c>
      <c r="M7" s="97">
        <v>8.4</v>
      </c>
      <c r="N7" s="97">
        <v>8.5</v>
      </c>
      <c r="O7" s="97">
        <v>8.6</v>
      </c>
      <c r="P7" s="97">
        <v>8.6999999999999993</v>
      </c>
      <c r="Q7" s="97">
        <v>8.8000000000000007</v>
      </c>
      <c r="R7" s="97">
        <v>8.9</v>
      </c>
      <c r="S7" s="97">
        <v>9</v>
      </c>
      <c r="T7" s="97">
        <v>9.1</v>
      </c>
      <c r="U7" s="94">
        <v>9.1</v>
      </c>
      <c r="V7" s="94">
        <v>9.1999999999999993</v>
      </c>
      <c r="W7" s="94">
        <v>9.4</v>
      </c>
      <c r="X7" s="94">
        <v>9.5</v>
      </c>
      <c r="Y7" s="94">
        <v>9.6999999999999993</v>
      </c>
    </row>
    <row r="8" spans="1:25" x14ac:dyDescent="0.3">
      <c r="A8" s="93" t="s">
        <v>14</v>
      </c>
      <c r="B8" s="96">
        <v>6.6</v>
      </c>
      <c r="C8" s="97">
        <v>6.6</v>
      </c>
      <c r="D8" s="97">
        <v>6.7</v>
      </c>
      <c r="E8" s="97">
        <v>6.7</v>
      </c>
      <c r="F8" s="97">
        <v>6.7</v>
      </c>
      <c r="G8" s="97">
        <v>6.8</v>
      </c>
      <c r="H8" s="97">
        <v>6.9</v>
      </c>
      <c r="I8" s="97">
        <v>6.9</v>
      </c>
      <c r="J8" s="97">
        <v>7</v>
      </c>
      <c r="K8" s="97">
        <v>7.2</v>
      </c>
      <c r="L8" s="97">
        <v>7.3</v>
      </c>
      <c r="M8" s="97">
        <v>7.4</v>
      </c>
      <c r="N8" s="97">
        <v>7.6</v>
      </c>
      <c r="O8" s="97">
        <v>7.7</v>
      </c>
      <c r="P8" s="97">
        <v>7.9</v>
      </c>
      <c r="Q8" s="97">
        <v>8</v>
      </c>
      <c r="R8" s="97">
        <v>8.1</v>
      </c>
      <c r="S8" s="97">
        <v>8.3000000000000007</v>
      </c>
      <c r="T8" s="97">
        <v>8.4</v>
      </c>
      <c r="U8" s="94">
        <v>8.5</v>
      </c>
      <c r="V8" s="94">
        <v>8.6</v>
      </c>
      <c r="W8" s="94">
        <v>8.8000000000000007</v>
      </c>
      <c r="X8" s="94">
        <v>9</v>
      </c>
      <c r="Y8" s="94">
        <v>9.1999999999999993</v>
      </c>
    </row>
    <row r="9" spans="1:25" x14ac:dyDescent="0.3">
      <c r="A9" s="93" t="s">
        <v>15</v>
      </c>
      <c r="B9" s="96">
        <v>8.4</v>
      </c>
      <c r="C9" s="97">
        <v>8.5</v>
      </c>
      <c r="D9" s="97">
        <v>8.6</v>
      </c>
      <c r="E9" s="97">
        <v>8.6999999999999993</v>
      </c>
      <c r="F9" s="97">
        <v>8.8000000000000007</v>
      </c>
      <c r="G9" s="97">
        <v>8.9</v>
      </c>
      <c r="H9" s="97">
        <v>9</v>
      </c>
      <c r="I9" s="97">
        <v>9.1</v>
      </c>
      <c r="J9" s="97">
        <v>9.1999999999999993</v>
      </c>
      <c r="K9" s="97">
        <v>9.1999999999999993</v>
      </c>
      <c r="L9" s="97">
        <v>9.4</v>
      </c>
      <c r="M9" s="97">
        <v>9.5</v>
      </c>
      <c r="N9" s="97">
        <v>9.6999999999999993</v>
      </c>
      <c r="O9" s="97">
        <v>9.8000000000000007</v>
      </c>
      <c r="P9" s="97">
        <v>10</v>
      </c>
      <c r="Q9" s="97">
        <v>10.199999999999999</v>
      </c>
      <c r="R9" s="97">
        <v>10.3</v>
      </c>
      <c r="S9" s="97">
        <v>10.5</v>
      </c>
      <c r="T9" s="97">
        <v>10.6</v>
      </c>
      <c r="U9" s="94">
        <v>10.7</v>
      </c>
      <c r="V9" s="94">
        <v>10.8</v>
      </c>
      <c r="W9" s="94">
        <v>10.9</v>
      </c>
      <c r="X9" s="94">
        <v>11</v>
      </c>
      <c r="Y9" s="94">
        <v>11.1</v>
      </c>
    </row>
    <row r="10" spans="1:25" x14ac:dyDescent="0.3">
      <c r="A10" s="93" t="s">
        <v>16</v>
      </c>
      <c r="B10" s="96">
        <v>7.9</v>
      </c>
      <c r="C10" s="97">
        <v>7.9</v>
      </c>
      <c r="D10" s="97">
        <v>8</v>
      </c>
      <c r="E10" s="97">
        <v>8.1</v>
      </c>
      <c r="F10" s="97">
        <v>8.1</v>
      </c>
      <c r="G10" s="97">
        <v>8.1</v>
      </c>
      <c r="H10" s="97">
        <v>8.1</v>
      </c>
      <c r="I10" s="97">
        <v>8.1</v>
      </c>
      <c r="J10" s="97">
        <v>8.1</v>
      </c>
      <c r="K10" s="97">
        <v>8.1</v>
      </c>
      <c r="L10" s="97">
        <v>8.1999999999999993</v>
      </c>
      <c r="M10" s="97">
        <v>8.1999999999999993</v>
      </c>
      <c r="N10" s="97">
        <v>8.3000000000000007</v>
      </c>
      <c r="O10" s="97">
        <v>8.4</v>
      </c>
      <c r="P10" s="97">
        <v>8.6</v>
      </c>
      <c r="Q10" s="97">
        <v>8.6999999999999993</v>
      </c>
      <c r="R10" s="97">
        <v>8.9</v>
      </c>
      <c r="S10" s="97">
        <v>9</v>
      </c>
      <c r="T10" s="97">
        <v>9.1999999999999993</v>
      </c>
      <c r="U10" s="94">
        <v>9.1999999999999993</v>
      </c>
      <c r="V10" s="94">
        <v>9.3000000000000007</v>
      </c>
      <c r="W10" s="94">
        <v>9.5</v>
      </c>
      <c r="X10" s="94">
        <v>9.6</v>
      </c>
      <c r="Y10" s="94">
        <v>9.8000000000000007</v>
      </c>
    </row>
    <row r="11" spans="1:25" x14ac:dyDescent="0.3">
      <c r="A11" s="93" t="s">
        <v>51</v>
      </c>
      <c r="B11" s="96">
        <v>8.1999999999999993</v>
      </c>
      <c r="C11" s="97">
        <v>8.1999999999999993</v>
      </c>
      <c r="D11" s="97">
        <v>8.1999999999999993</v>
      </c>
      <c r="E11" s="97">
        <v>8.3000000000000007</v>
      </c>
      <c r="F11" s="97">
        <v>8.4</v>
      </c>
      <c r="G11" s="97">
        <v>8.5</v>
      </c>
      <c r="H11" s="97">
        <v>8.5</v>
      </c>
      <c r="I11" s="97">
        <v>8.6</v>
      </c>
      <c r="J11" s="97">
        <v>8.6999999999999993</v>
      </c>
      <c r="K11" s="97">
        <v>8.8000000000000007</v>
      </c>
      <c r="L11" s="97">
        <v>9</v>
      </c>
      <c r="M11" s="97">
        <v>9.1</v>
      </c>
      <c r="N11" s="97">
        <v>9.3000000000000007</v>
      </c>
      <c r="O11" s="97">
        <v>9.5</v>
      </c>
      <c r="P11" s="97">
        <v>9.6999999999999993</v>
      </c>
      <c r="Q11" s="97">
        <v>10</v>
      </c>
      <c r="R11" s="97">
        <v>10.3</v>
      </c>
      <c r="S11" s="97">
        <v>10.6</v>
      </c>
      <c r="T11" s="97">
        <v>10.9</v>
      </c>
      <c r="U11" s="94">
        <v>11.1</v>
      </c>
      <c r="V11" s="94">
        <v>11.4</v>
      </c>
      <c r="W11" s="94">
        <v>11.7</v>
      </c>
      <c r="X11" s="94">
        <v>12</v>
      </c>
      <c r="Y11" s="94">
        <v>12.3</v>
      </c>
    </row>
    <row r="12" spans="1:25" x14ac:dyDescent="0.3">
      <c r="A12" s="93" t="s">
        <v>95</v>
      </c>
      <c r="B12" s="97">
        <v>7.7</v>
      </c>
      <c r="C12" s="97">
        <v>7.7</v>
      </c>
      <c r="D12" s="97">
        <v>7.8</v>
      </c>
      <c r="E12" s="97">
        <v>7.8</v>
      </c>
      <c r="F12" s="97">
        <v>7.9</v>
      </c>
      <c r="G12" s="97">
        <v>8</v>
      </c>
      <c r="H12" s="97">
        <v>8.1</v>
      </c>
      <c r="I12" s="97">
        <v>8.1999999999999993</v>
      </c>
      <c r="J12" s="97">
        <v>8.3000000000000007</v>
      </c>
      <c r="K12" s="97">
        <v>8.4</v>
      </c>
      <c r="L12" s="97">
        <v>8.5</v>
      </c>
      <c r="M12" s="97">
        <v>8.6</v>
      </c>
      <c r="N12" s="97">
        <v>8.6999999999999993</v>
      </c>
      <c r="O12" s="97">
        <v>8.9</v>
      </c>
      <c r="P12" s="97">
        <v>9.1</v>
      </c>
      <c r="Q12" s="97">
        <v>9.1999999999999993</v>
      </c>
      <c r="R12" s="97">
        <v>9.4</v>
      </c>
      <c r="S12" s="97">
        <v>9.5</v>
      </c>
      <c r="T12" s="97">
        <v>9.6999999999999993</v>
      </c>
      <c r="U12" s="94">
        <v>9.8000000000000007</v>
      </c>
      <c r="V12" s="94">
        <v>9.9</v>
      </c>
      <c r="W12" s="94">
        <v>10.1</v>
      </c>
      <c r="X12" s="94">
        <v>10.3</v>
      </c>
      <c r="Y12" s="94">
        <v>10.5</v>
      </c>
    </row>
    <row r="13" spans="1:25" x14ac:dyDescent="0.3">
      <c r="T13" s="77"/>
      <c r="U13" s="74"/>
    </row>
    <row r="14" spans="1:25" x14ac:dyDescent="0.3"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</row>
    <row r="15" spans="1:25" x14ac:dyDescent="0.3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</row>
    <row r="16" spans="1:25" x14ac:dyDescent="0.3"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</row>
    <row r="17" spans="2:24" x14ac:dyDescent="0.3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</row>
    <row r="18" spans="2:24" x14ac:dyDescent="0.3"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</row>
    <row r="19" spans="2:24" x14ac:dyDescent="0.3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</row>
    <row r="20" spans="2:24" x14ac:dyDescent="0.3"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 spans="2:24" x14ac:dyDescent="0.3"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 spans="2:24" x14ac:dyDescent="0.3"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 spans="2:24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5" spans="2:24" x14ac:dyDescent="0.3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</row>
    <row r="26" spans="2:24" x14ac:dyDescent="0.3"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</row>
    <row r="27" spans="2:24" x14ac:dyDescent="0.3"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</row>
    <row r="28" spans="2:24" x14ac:dyDescent="0.3"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</row>
    <row r="29" spans="2:24" x14ac:dyDescent="0.3"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</row>
    <row r="30" spans="2:24" x14ac:dyDescent="0.3"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</row>
    <row r="31" spans="2:24" x14ac:dyDescent="0.3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 spans="2:24" x14ac:dyDescent="0.3"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</row>
    <row r="33" spans="2:24" x14ac:dyDescent="0.3"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</row>
    <row r="34" spans="2:24" x14ac:dyDescent="0.3"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</row>
    <row r="35" spans="2:24" x14ac:dyDescent="0.3"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</row>
  </sheetData>
  <mergeCells count="1">
    <mergeCell ref="B1:U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13"/>
  <sheetViews>
    <sheetView tabSelected="1" workbookViewId="0">
      <selection activeCell="F14" sqref="F14"/>
    </sheetView>
  </sheetViews>
  <sheetFormatPr defaultColWidth="9.109375" defaultRowHeight="14.4" x14ac:dyDescent="0.3"/>
  <cols>
    <col min="1" max="16384" width="9.109375" style="80"/>
  </cols>
  <sheetData>
    <row r="1" spans="1:46" s="85" customFormat="1" x14ac:dyDescent="0.3">
      <c r="A1" s="93"/>
      <c r="B1" s="152" t="s">
        <v>128</v>
      </c>
      <c r="C1" s="153"/>
      <c r="D1" s="152" t="s">
        <v>41</v>
      </c>
      <c r="E1" s="153"/>
      <c r="F1" s="152" t="s">
        <v>42</v>
      </c>
      <c r="G1" s="153"/>
      <c r="H1" s="152" t="s">
        <v>58</v>
      </c>
      <c r="I1" s="153"/>
      <c r="J1" s="152" t="s">
        <v>43</v>
      </c>
      <c r="K1" s="153"/>
      <c r="L1" s="152" t="s">
        <v>44</v>
      </c>
      <c r="M1" s="153"/>
      <c r="N1" s="152" t="s">
        <v>45</v>
      </c>
      <c r="O1" s="153"/>
      <c r="P1" s="152" t="s">
        <v>46</v>
      </c>
      <c r="Q1" s="153"/>
      <c r="R1" s="152" t="s">
        <v>47</v>
      </c>
      <c r="S1" s="153"/>
      <c r="T1" s="152" t="s">
        <v>48</v>
      </c>
      <c r="U1" s="153"/>
    </row>
    <row r="2" spans="1:46" x14ac:dyDescent="0.3">
      <c r="A2" s="95"/>
      <c r="B2" s="95" t="s">
        <v>21</v>
      </c>
      <c r="C2" s="95" t="s">
        <v>22</v>
      </c>
      <c r="D2" s="95" t="s">
        <v>21</v>
      </c>
      <c r="E2" s="95" t="s">
        <v>22</v>
      </c>
      <c r="F2" s="95" t="s">
        <v>21</v>
      </c>
      <c r="G2" s="95" t="s">
        <v>22</v>
      </c>
      <c r="H2" s="95" t="s">
        <v>21</v>
      </c>
      <c r="I2" s="95" t="s">
        <v>22</v>
      </c>
      <c r="J2" s="95" t="s">
        <v>21</v>
      </c>
      <c r="K2" s="95" t="s">
        <v>22</v>
      </c>
      <c r="L2" s="95" t="s">
        <v>21</v>
      </c>
      <c r="M2" s="95" t="s">
        <v>22</v>
      </c>
      <c r="N2" s="95" t="s">
        <v>21</v>
      </c>
      <c r="O2" s="95" t="s">
        <v>22</v>
      </c>
      <c r="P2" s="95" t="s">
        <v>21</v>
      </c>
      <c r="Q2" s="95" t="s">
        <v>22</v>
      </c>
      <c r="R2" s="95" t="s">
        <v>21</v>
      </c>
      <c r="S2" s="95" t="s">
        <v>22</v>
      </c>
      <c r="T2" s="95" t="s">
        <v>21</v>
      </c>
      <c r="U2" s="95" t="s">
        <v>22</v>
      </c>
    </row>
    <row r="3" spans="1:46" x14ac:dyDescent="0.3">
      <c r="A3" s="95" t="s">
        <v>126</v>
      </c>
      <c r="B3" s="151">
        <v>8749922</v>
      </c>
      <c r="C3" s="151">
        <v>8661123.0000000019</v>
      </c>
      <c r="D3" s="151">
        <v>860005.1220160774</v>
      </c>
      <c r="E3" s="151">
        <v>938623.17918789724</v>
      </c>
      <c r="F3" s="151">
        <v>403424.54451153602</v>
      </c>
      <c r="G3" s="151">
        <v>430552.76714241598</v>
      </c>
      <c r="H3" s="151">
        <v>2320668.6976755406</v>
      </c>
      <c r="I3" s="151">
        <v>2226935.7973992317</v>
      </c>
      <c r="J3" s="151">
        <v>1726192.5337339239</v>
      </c>
      <c r="K3" s="151">
        <v>1767856.167874021</v>
      </c>
      <c r="L3" s="151">
        <v>846581.49127597839</v>
      </c>
      <c r="M3" s="151">
        <v>837923.48301534133</v>
      </c>
      <c r="N3" s="151">
        <v>727609.45347368869</v>
      </c>
      <c r="O3" s="151">
        <v>713522.51548475376</v>
      </c>
      <c r="P3" s="151">
        <v>190060.28847929827</v>
      </c>
      <c r="Q3" s="151">
        <v>181017.13403271689</v>
      </c>
      <c r="R3" s="151">
        <v>607480.34829085798</v>
      </c>
      <c r="S3" s="151">
        <v>555414.85088714422</v>
      </c>
      <c r="T3" s="151">
        <v>1067899.5205430994</v>
      </c>
      <c r="U3" s="151">
        <v>1009277.1049764781</v>
      </c>
      <c r="X3" s="83"/>
      <c r="AA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</row>
    <row r="4" spans="1:46" x14ac:dyDescent="0.3">
      <c r="A4" s="95" t="s">
        <v>127</v>
      </c>
      <c r="B4" s="151">
        <v>6934076.0000000009</v>
      </c>
      <c r="C4" s="151">
        <v>6855263</v>
      </c>
      <c r="D4" s="151">
        <v>590914.25911999238</v>
      </c>
      <c r="E4" s="151">
        <v>653735.5546501067</v>
      </c>
      <c r="F4" s="151">
        <v>297859.35785942402</v>
      </c>
      <c r="G4" s="151">
        <v>325926.49268407316</v>
      </c>
      <c r="H4" s="151">
        <v>2114756.7953774398</v>
      </c>
      <c r="I4" s="151">
        <v>2019437.1189583195</v>
      </c>
      <c r="J4" s="151">
        <v>1205143.9737477177</v>
      </c>
      <c r="K4" s="151">
        <v>1271847.0965359565</v>
      </c>
      <c r="L4" s="151">
        <v>586827.89845434704</v>
      </c>
      <c r="M4" s="151">
        <v>600123.56715804723</v>
      </c>
      <c r="N4" s="151">
        <v>584459.92668224405</v>
      </c>
      <c r="O4" s="151">
        <v>542125.25585845846</v>
      </c>
      <c r="P4" s="151">
        <v>145829.58839022915</v>
      </c>
      <c r="Q4" s="151">
        <v>132478.8426691526</v>
      </c>
      <c r="R4" s="151">
        <v>487079.49329617678</v>
      </c>
      <c r="S4" s="151">
        <v>420515.87094495201</v>
      </c>
      <c r="T4" s="151">
        <v>921204.70707242936</v>
      </c>
      <c r="U4" s="151">
        <v>889073.20054093399</v>
      </c>
      <c r="X4" s="83"/>
      <c r="AA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</row>
    <row r="5" spans="1:46" x14ac:dyDescent="0.3">
      <c r="A5" s="95" t="s">
        <v>133</v>
      </c>
      <c r="B5" s="151">
        <v>3462145</v>
      </c>
      <c r="C5" s="151">
        <v>4099972</v>
      </c>
      <c r="D5" s="151">
        <v>322441.58922202524</v>
      </c>
      <c r="E5" s="151">
        <v>481400.07545832352</v>
      </c>
      <c r="F5" s="151">
        <v>160721.39035654659</v>
      </c>
      <c r="G5" s="151">
        <v>216787.97000124067</v>
      </c>
      <c r="H5" s="151">
        <v>1064974.8313613443</v>
      </c>
      <c r="I5" s="151">
        <v>1015759.2715044788</v>
      </c>
      <c r="J5" s="151">
        <v>534742.5346276341</v>
      </c>
      <c r="K5" s="151">
        <v>755100.46508701867</v>
      </c>
      <c r="L5" s="151">
        <v>268087.33331274544</v>
      </c>
      <c r="M5" s="151">
        <v>399134.68031988677</v>
      </c>
      <c r="N5" s="151">
        <v>259203.08145294528</v>
      </c>
      <c r="O5" s="151">
        <v>315034.03590559377</v>
      </c>
      <c r="P5" s="151">
        <v>75831.475723102732</v>
      </c>
      <c r="Q5" s="151">
        <v>86502.985212766376</v>
      </c>
      <c r="R5" s="151">
        <v>250124.87789822006</v>
      </c>
      <c r="S5" s="151">
        <v>254563.87336536939</v>
      </c>
      <c r="T5" s="151">
        <v>526017.88604543614</v>
      </c>
      <c r="U5" s="151">
        <v>575688.64314532187</v>
      </c>
    </row>
    <row r="6" spans="1:46" x14ac:dyDescent="0.3">
      <c r="A6" s="95" t="s">
        <v>134</v>
      </c>
      <c r="B6" s="151">
        <v>1686416</v>
      </c>
      <c r="C6" s="151">
        <v>2783791.0000000005</v>
      </c>
      <c r="D6" s="151">
        <v>226240.98263576432</v>
      </c>
      <c r="E6" s="151">
        <v>443947.66696666984</v>
      </c>
      <c r="F6" s="151">
        <v>79046.035259749799</v>
      </c>
      <c r="G6" s="151">
        <v>149952.71088679283</v>
      </c>
      <c r="H6" s="151">
        <v>476564.7440047873</v>
      </c>
      <c r="I6" s="151">
        <v>600087.9930432227</v>
      </c>
      <c r="J6" s="151">
        <v>254680.68498611596</v>
      </c>
      <c r="K6" s="151">
        <v>503757.16307969188</v>
      </c>
      <c r="L6" s="151">
        <v>125737.40172889279</v>
      </c>
      <c r="M6" s="151">
        <v>300505.40921450057</v>
      </c>
      <c r="N6" s="151">
        <v>117352.55600001552</v>
      </c>
      <c r="O6" s="151">
        <v>190504.69115357829</v>
      </c>
      <c r="P6" s="151">
        <v>39072.326994665418</v>
      </c>
      <c r="Q6" s="151">
        <v>68294.41644489883</v>
      </c>
      <c r="R6" s="151">
        <v>103356.35797936107</v>
      </c>
      <c r="S6" s="151">
        <v>164476.61875772214</v>
      </c>
      <c r="T6" s="151">
        <v>264364.91041064786</v>
      </c>
      <c r="U6" s="151">
        <v>362264.33045292314</v>
      </c>
    </row>
    <row r="7" spans="1:46" x14ac:dyDescent="0.3">
      <c r="D7" s="83"/>
      <c r="E7" s="83"/>
    </row>
    <row r="8" spans="1:46" x14ac:dyDescent="0.3">
      <c r="B8" s="83"/>
      <c r="C8" s="83"/>
    </row>
    <row r="9" spans="1:46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</row>
    <row r="10" spans="1:46" x14ac:dyDescent="0.3"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</row>
    <row r="11" spans="1:46" x14ac:dyDescent="0.3"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</row>
    <row r="12" spans="1:46" x14ac:dyDescent="0.3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</row>
    <row r="13" spans="1:46" x14ac:dyDescent="0.3"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MYPE by pop grp and sex</vt:lpstr>
      <vt:lpstr>Total Fertilty Rate</vt:lpstr>
      <vt:lpstr>MYPE by province</vt:lpstr>
      <vt:lpstr>International Net migration</vt:lpstr>
      <vt:lpstr>Mortality Indicators over time</vt:lpstr>
      <vt:lpstr>Births and deaths over time</vt:lpstr>
      <vt:lpstr>HIV Estimates over time</vt:lpstr>
      <vt:lpstr>Rate of Growth by age grp</vt:lpstr>
      <vt:lpstr>MYPE by pop grp age and sex</vt:lpstr>
      <vt:lpstr>inter provincial migration</vt:lpstr>
      <vt:lpstr>% distribution of prov overtime</vt:lpstr>
      <vt:lpstr>Povincial est by age and sex</vt:lpstr>
      <vt:lpstr>TFR by Province</vt:lpstr>
      <vt:lpstr>LE by gender and prov</vt:lpstr>
      <vt:lpstr>%children over time within prov</vt:lpstr>
      <vt:lpstr>%elderly overtime within prov</vt:lpstr>
      <vt:lpstr>Selected ages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Munthree</dc:creator>
  <cp:lastModifiedBy>Chantal Munthree</cp:lastModifiedBy>
  <cp:lastPrinted>2019-07-10T11:39:32Z</cp:lastPrinted>
  <dcterms:created xsi:type="dcterms:W3CDTF">2015-07-01T08:45:04Z</dcterms:created>
  <dcterms:modified xsi:type="dcterms:W3CDTF">2025-07-25T07:39:49Z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ChantalMu@statssa.gov.za</vt:lpwstr>
  </property>
  <property fmtid="{D5CDD505-2E9C-101B-9397-08002B2CF9AE}" pid="5" name="MSIP_Label_a4616250-01d4-40ab-a2e8-d4b03b0a4768_SetDate">
    <vt:lpwstr>2021-04-12T09:41:58.1977884Z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ed937fc6-d33e-464e-a61c-26e8a53ca974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